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B453EF3E-C352-433F-BE48-E41D8A54D4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esupuesto Anual" sheetId="11" r:id="rId1"/>
    <sheet name="Analisis2" sheetId="12" r:id="rId2"/>
    <sheet name="Info" sheetId="7" r:id="rId3"/>
    <sheet name="DashBoard" sheetId="9" r:id="rId4"/>
  </sheets>
  <externalReferences>
    <externalReference r:id="rId5"/>
  </externalReferences>
  <definedNames>
    <definedName name="DatosExternos_1" localSheetId="0" hidden="1">'Presupuesto Anual'!$A$1:$E$109</definedName>
    <definedName name="SegmentaciónDeDatos_Mes1">#N/A</definedName>
    <definedName name="SegmentaciónDeDatos_Unidad_Organizativa">#N/A</definedName>
  </definedNames>
  <calcPr calcId="191028"/>
  <pivotCaches>
    <pivotCache cacheId="4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7" l="1"/>
  <c r="C63" i="7" s="1"/>
  <c r="C48" i="7"/>
  <c r="C64" i="7" s="1"/>
  <c r="C49" i="7"/>
  <c r="C65" i="7" s="1"/>
  <c r="C50" i="7"/>
  <c r="C66" i="7" s="1"/>
  <c r="C51" i="7"/>
  <c r="C67" i="7" s="1"/>
  <c r="C52" i="7"/>
  <c r="C68" i="7" s="1"/>
  <c r="C53" i="7"/>
  <c r="C69" i="7" s="1"/>
  <c r="C54" i="7"/>
  <c r="C70" i="7" s="1"/>
  <c r="C55" i="7"/>
  <c r="C71" i="7" s="1"/>
  <c r="C56" i="7"/>
  <c r="C72" i="7" s="1"/>
  <c r="C57" i="7"/>
  <c r="C73" i="7" s="1"/>
  <c r="C46" i="7"/>
  <c r="C62" i="7" s="1"/>
  <c r="C18" i="7"/>
  <c r="B63" i="7" s="1"/>
  <c r="C19" i="7"/>
  <c r="B64" i="7" s="1"/>
  <c r="C20" i="7"/>
  <c r="B65" i="7" s="1"/>
  <c r="C21" i="7"/>
  <c r="B66" i="7" s="1"/>
  <c r="C22" i="7"/>
  <c r="B67" i="7" s="1"/>
  <c r="C23" i="7"/>
  <c r="B68" i="7" s="1"/>
  <c r="C24" i="7"/>
  <c r="B69" i="7" s="1"/>
  <c r="C25" i="7"/>
  <c r="B70" i="7" s="1"/>
  <c r="C26" i="7"/>
  <c r="B71" i="7" s="1"/>
  <c r="C27" i="7"/>
  <c r="B72" i="7" s="1"/>
  <c r="C28" i="7"/>
  <c r="B73" i="7" s="1"/>
  <c r="C17" i="7"/>
  <c r="B62" i="7" s="1"/>
  <c r="C6" i="7"/>
  <c r="C7" i="7"/>
  <c r="C8" i="7"/>
  <c r="C9" i="7"/>
  <c r="C10" i="7"/>
  <c r="C11" i="7"/>
  <c r="C12" i="7"/>
  <c r="C13" i="7"/>
  <c r="C14" i="7"/>
  <c r="C15" i="7"/>
  <c r="C16" i="7"/>
  <c r="C5" i="7"/>
  <c r="C2" i="7"/>
  <c r="C1" i="7"/>
  <c r="C58" i="7"/>
  <c r="C74" i="7"/>
  <c r="C75" i="7"/>
  <c r="C35" i="7" l="1"/>
  <c r="C34" i="7"/>
  <c r="C33" i="7"/>
  <c r="C31" i="7"/>
  <c r="C30" i="7"/>
  <c r="C32" i="7"/>
  <c r="C29" i="7"/>
  <c r="C36" i="7"/>
  <c r="C37" i="7"/>
  <c r="C40" i="7"/>
  <c r="C39" i="7"/>
  <c r="C38" i="7"/>
  <c r="C60" i="7"/>
  <c r="C59" i="7"/>
  <c r="D59" i="7" s="1"/>
  <c r="C44" i="7" l="1"/>
  <c r="C43" i="7"/>
  <c r="C42" i="7"/>
  <c r="C41" i="7"/>
  <c r="C3" i="7"/>
  <c r="D3" i="7" s="1"/>
  <c r="C45" i="7"/>
  <c r="C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43A96E-9D6B-4C8A-9CC6-B0B2A758CA2C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10A8B3B3-6284-49C9-8650-780380D5DBD4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A7D667A3-2CFD-4DAC-B015-B3EA3A35FCDE}" keepAlive="1" name="Consulta - Presupuesto Anual" description="Conexión a la consulta 'Presupuesto Anual' en el libro." type="5" refreshedVersion="8" background="1" refreshOnLoad="1" saveData="1">
    <dbPr connection="Provider=Microsoft.Mashup.OleDb.1;Data Source=$Workbook$;Location=&quot;Presupuesto Anual&quot;;Extended Properties=&quot;&quot;" command="SELECT * FROM [Presupuesto Anual]"/>
  </connection>
  <connection id="4" xr16:uid="{7AE3BF77-641E-4269-8530-AE125FC68FE5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FA9FE055-1FE9-48E9-B86D-8DCAF197D8F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<sst xmlns="http://schemas.openxmlformats.org/spreadsheetml/2006/main" count="490" uniqueCount="34">
  <si>
    <t>Unidad Organizativa</t>
  </si>
  <si>
    <t>Año</t>
  </si>
  <si>
    <t>Escenario</t>
  </si>
  <si>
    <t>Mes</t>
  </si>
  <si>
    <t>Monto</t>
  </si>
  <si>
    <t>Cañaverales Mexicanos</t>
  </si>
  <si>
    <t>Real</t>
  </si>
  <si>
    <t>Enero</t>
  </si>
  <si>
    <t>Plan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</si>
  <si>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</si>
  <si>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</si>
  <si>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</si>
  <si>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</si>
  <si>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</si>
  <si>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</si>
  <si>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</si>
  <si>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</si>
  <si>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</si>
  <si>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</si>
  <si>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</si>
  <si>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Excelencia Zona Chiapas</t>
  </si>
  <si>
    <t>Excelencia Zona Veracruz</t>
  </si>
  <si>
    <t>Etiquetas de fila</t>
  </si>
  <si>
    <t>Suma de Monto</t>
  </si>
  <si>
    <t>Total general</t>
  </si>
  <si>
    <t>Plan 2026</t>
  </si>
  <si>
    <t>Real 2026</t>
  </si>
  <si>
    <t>Ahorro Absoluto 2025</t>
  </si>
  <si>
    <t>Ahorro/Sobre Gasto</t>
  </si>
  <si>
    <t>Mes con mayor ahorro 2026</t>
  </si>
  <si>
    <t>Mes con mayor sobregasto 2026</t>
  </si>
  <si>
    <t>Ahorro / Sobre‑gasto</t>
  </si>
  <si>
    <t>Real 2025</t>
  </si>
  <si>
    <t>Variación Real 2026 vs Real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</si>
</sst>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1" applyNumberFormat="1" applyFont="1"/>
    <xf numFmtId="0" fontId="3" fillId="2" borderId="0" xfId="0" applyFont="1" applyFill="1"/>
    <xf numFmtId="0" fontId="3" fillId="0" borderId="0" xfId="0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font>
        <sz val="6"/>
        <color theme="1"/>
        <name val="Franklin Gothic Medium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sz val="6"/>
        <color theme="1"/>
        <name val="Franklin Gothic Medium"/>
        <family val="2"/>
        <scheme val="none"/>
      </font>
      <fill>
        <patternFill>
          <bgColor rgb="FF2E2F3C"/>
        </patternFill>
      </fill>
      <border diagonalUp="0" diagonalDown="0">
        <left/>
        <right/>
        <top/>
        <bottom/>
        <vertical/>
        <horizontal/>
      </border>
    </dxf>
    <dxf>
      <font>
        <sz val="6"/>
        <color theme="1"/>
        <name val="Franklin Gothic Medium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sz val="6"/>
        <color theme="1"/>
        <name val="Franklin Gothic Medium"/>
        <family val="2"/>
        <scheme val="none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Medium9">
    <tableStyle name="Mi estilo 1 2" pivot="0" table="0" count="10" xr9:uid="{AC4C3151-E4D6-46ED-B284-13610CF4198D}">
      <tableStyleElement type="wholeTable" dxfId="6"/>
      <tableStyleElement type="headerRow" dxfId="5"/>
    </tableStyle>
    <tableStyle name="Mi estilo 1 2 2" pivot="0" table="0" count="10" xr9:uid="{DECC0BDA-2426-4D57-9B0B-729B9B040189}">
      <tableStyleElement type="wholeTable" dxfId="4"/>
      <tableStyleElement type="headerRow" dxfId="3"/>
    </tableStyle>
  </tableStyles>
  <extLst>
    <ext xmlns:x14="http://schemas.microsoft.com/office/spreadsheetml/2009/9/main" uri="{46F421CA-312F-682f-3DD2-61675219B42D}">
      <x14:dxfs count="16"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theme="8" tint="0.79995117038483843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ranklin Gothic Medium"/>
            <family val="2"/>
            <scheme val="none"/>
          </font>
          <fill>
            <patternFill patternType="solid">
              <fgColor theme="8" tint="0.59999389629810485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auto="1"/>
            <name val="Franklin Gothic Medium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ranklin Gothic Medium"/>
            <family val="2"/>
            <scheme val="none"/>
          </font>
          <fill>
            <patternFill patternType="solid">
              <fgColor auto="1"/>
              <bgColor rgb="FF1391A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theme="8" tint="0.79995117038483843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ranklin Gothic Medium"/>
            <family val="2"/>
            <scheme val="none"/>
          </font>
          <fill>
            <patternFill patternType="solid">
              <fgColor theme="8" tint="0.59999389629810485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ranklin Gothic Medium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auto="1"/>
            <name val="Franklin Gothic Medium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 estilo 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Mi estilo 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DD-4492-8B59-B46E3C396C5E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DD-4492-8B59-B46E3C396C5E}"/>
              </c:ext>
            </c:extLst>
          </c:dPt>
          <c:val>
            <c:numRef>
              <c:f>Info!$C$3:$D$3</c:f>
              <c:numCache>
                <c:formatCode>0.00%</c:formatCode>
                <c:ptCount val="2"/>
                <c:pt idx="0">
                  <c:v>0.30306203969491752</c:v>
                </c:pt>
                <c:pt idx="1">
                  <c:v>0.69693796030508248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DD-4492-8B59-B46E3C39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D6-47AC-B077-C06E331B1D9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9-4F75-965A-8D376E9FE07B}"/>
              </c:ext>
            </c:extLst>
          </c:dPt>
          <c:val>
            <c:numRef>
              <c:f>Info!$C$59:$D$59</c:f>
              <c:numCache>
                <c:formatCode>0.00%</c:formatCode>
                <c:ptCount val="2"/>
                <c:pt idx="0">
                  <c:v>5.031132879654069E-2</c:v>
                </c:pt>
                <c:pt idx="1">
                  <c:v>0.94968867120345934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99-4F75-965A-8D376E9FE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D4-490C-BEBE-0A6E37A9018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D4-490C-BEBE-0A6E37A90180}"/>
              </c:ext>
            </c:extLst>
          </c:dPt>
          <c:val>
            <c:numRef>
              <c:f>Info!$C$3:$D$3</c:f>
              <c:numCache>
                <c:formatCode>0.00%</c:formatCode>
                <c:ptCount val="2"/>
                <c:pt idx="0">
                  <c:v>0.30306203969491752</c:v>
                </c:pt>
                <c:pt idx="1">
                  <c:v>0.69693796030508248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D4-490C-BEBE-0A6E37A90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124975570075587E-2"/>
          <c:y val="9.3992930009244538E-2"/>
          <c:w val="0.96645837404987389"/>
          <c:h val="0.812014139981510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8842100815035093E-2"/>
                  <c:y val="0.11108255364728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34-44EA-A9A0-CE3FB84784EF}"/>
                </c:ext>
              </c:extLst>
            </c:dLbl>
            <c:dLbl>
              <c:idx val="1"/>
              <c:layout>
                <c:manualLayout>
                  <c:x val="-0.15087023352366666"/>
                  <c:y val="-0.119627365466311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34-44EA-A9A0-CE3FB84784EF}"/>
                </c:ext>
              </c:extLst>
            </c:dLbl>
            <c:dLbl>
              <c:idx val="2"/>
              <c:layout>
                <c:manualLayout>
                  <c:x val="-9.9954045331376029E-3"/>
                  <c:y val="0.102537741828266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34-44EA-A9A0-CE3FB84784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Info!$B$29:$B$40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Info!$C$29:$C$40</c:f>
              <c:numCache>
                <c:formatCode>_("$"* #,##0.00_);_("$"* \(#,##0.00\);_("$"* "-"??_);_(@_)</c:formatCode>
                <c:ptCount val="12"/>
                <c:pt idx="0">
                  <c:v>-701153.90000000037</c:v>
                </c:pt>
                <c:pt idx="1">
                  <c:v>-586656.04000000027</c:v>
                </c:pt>
                <c:pt idx="2">
                  <c:v>-641421.70000000019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9-47EA-921C-F79B888255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9384544"/>
        <c:axId val="249377344"/>
      </c:lineChart>
      <c:catAx>
        <c:axId val="2493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377344"/>
        <c:crosses val="autoZero"/>
        <c:auto val="1"/>
        <c:lblAlgn val="ctr"/>
        <c:lblOffset val="100"/>
        <c:noMultiLvlLbl val="0"/>
      </c:catAx>
      <c:valAx>
        <c:axId val="24937734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493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Info!$B$61</c:f>
              <c:strCache>
                <c:ptCount val="1"/>
                <c:pt idx="0">
                  <c:v>Real 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Info!$A$62:$A$64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Info!$B$62:$B$64</c:f>
              <c:numCache>
                <c:formatCode>_("$"* #,##0.00_);_("$"* \(#,##0.00\);_("$"* "-"??_);_(@_)</c:formatCode>
                <c:ptCount val="3"/>
                <c:pt idx="0">
                  <c:v>1221260.0999999996</c:v>
                </c:pt>
                <c:pt idx="1">
                  <c:v>1314435.9599999997</c:v>
                </c:pt>
                <c:pt idx="2">
                  <c:v>1475048.25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A-4B08-B1DD-FBC35202B573}"/>
            </c:ext>
          </c:extLst>
        </c:ser>
        <c:ser>
          <c:idx val="1"/>
          <c:order val="1"/>
          <c:tx>
            <c:strRef>
              <c:f>Info!$C$61</c:f>
              <c:strCache>
                <c:ptCount val="1"/>
                <c:pt idx="0">
                  <c:v>Real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Info!$A$62:$A$64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Info!$C$62:$C$64</c:f>
              <c:numCache>
                <c:formatCode>_("$"* #,##0.00_);_("$"* \(#,##0.00\);_("$"* "-"??_);_(@_)</c:formatCode>
                <c:ptCount val="3"/>
                <c:pt idx="0">
                  <c:v>1475128.9099999992</c:v>
                </c:pt>
                <c:pt idx="1">
                  <c:v>1282644.0499999996</c:v>
                </c:pt>
                <c:pt idx="2">
                  <c:v>1404391.4499999995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A-4B08-B1DD-FBC35202B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-27"/>
        <c:axId val="413841792"/>
        <c:axId val="413849472"/>
      </c:barChart>
      <c:catAx>
        <c:axId val="4138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3849472"/>
        <c:crosses val="autoZero"/>
        <c:auto val="1"/>
        <c:lblAlgn val="ctr"/>
        <c:lblOffset val="100"/>
        <c:noMultiLvlLbl val="0"/>
      </c:catAx>
      <c:valAx>
        <c:axId val="413849472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138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91668</xdr:colOff>
      <xdr:row>0</xdr:row>
      <xdr:rowOff>16108</xdr:rowOff>
    </xdr:from>
    <xdr:to>
      <xdr:col>16</xdr:col>
      <xdr:colOff>18287</xdr:colOff>
      <xdr:row>24</xdr:row>
      <xdr:rowOff>16108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0FB79CC-B839-490F-A56C-93F2B0D171C0}"/>
            </a:ext>
          </a:extLst>
        </xdr:cNvPr>
        <xdr:cNvSpPr/>
      </xdr:nvSpPr>
      <xdr:spPr>
        <a:xfrm>
          <a:off x="91668" y="16108"/>
          <a:ext cx="11435867" cy="4389120"/>
        </a:xfrm>
        <a:prstGeom prst="roundRect">
          <a:avLst>
            <a:gd name="adj" fmla="val 416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183891</xdr:colOff>
      <xdr:row>18</xdr:row>
      <xdr:rowOff>169300</xdr:rowOff>
    </xdr:from>
    <xdr:to>
      <xdr:col>9</xdr:col>
      <xdr:colOff>774571</xdr:colOff>
      <xdr:row>24</xdr:row>
      <xdr:rowOff>77810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9AC99F10-82CC-42C3-A94D-C0BEDA8E5514}"/>
            </a:ext>
          </a:extLst>
        </xdr:cNvPr>
        <xdr:cNvSpPr/>
      </xdr:nvSpPr>
      <xdr:spPr>
        <a:xfrm>
          <a:off x="3571907" y="3448025"/>
          <a:ext cx="3796544" cy="1001418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285129</xdr:colOff>
      <xdr:row>0</xdr:row>
      <xdr:rowOff>76199</xdr:rowOff>
    </xdr:from>
    <xdr:to>
      <xdr:col>13</xdr:col>
      <xdr:colOff>280358</xdr:colOff>
      <xdr:row>6</xdr:row>
      <xdr:rowOff>120316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6499964D-4CB9-4AD2-9DC8-8E373743AACC}"/>
            </a:ext>
          </a:extLst>
        </xdr:cNvPr>
        <xdr:cNvSpPr/>
      </xdr:nvSpPr>
      <xdr:spPr>
        <a:xfrm>
          <a:off x="1268109" y="76199"/>
          <a:ext cx="8179109" cy="1141397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145902</xdr:colOff>
      <xdr:row>14</xdr:row>
      <xdr:rowOff>146233</xdr:rowOff>
    </xdr:from>
    <xdr:to>
      <xdr:col>15</xdr:col>
      <xdr:colOff>660808</xdr:colOff>
      <xdr:row>24</xdr:row>
      <xdr:rowOff>76560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06C3C85-51DC-4934-93C4-4D3FD0FC06C5}"/>
            </a:ext>
          </a:extLst>
        </xdr:cNvPr>
        <xdr:cNvSpPr/>
      </xdr:nvSpPr>
      <xdr:spPr>
        <a:xfrm>
          <a:off x="7524394" y="2711217"/>
          <a:ext cx="3862709" cy="1762458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621648</xdr:colOff>
      <xdr:row>8</xdr:row>
      <xdr:rowOff>130175</xdr:rowOff>
    </xdr:from>
    <xdr:to>
      <xdr:col>5</xdr:col>
      <xdr:colOff>16058</xdr:colOff>
      <xdr:row>24</xdr:row>
      <xdr:rowOff>79375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7DF82D6A-822C-468B-A57E-997691952B3C}"/>
            </a:ext>
          </a:extLst>
        </xdr:cNvPr>
        <xdr:cNvSpPr/>
      </xdr:nvSpPr>
      <xdr:spPr>
        <a:xfrm>
          <a:off x="1604628" y="1593215"/>
          <a:ext cx="1794710" cy="2875280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456111</xdr:colOff>
      <xdr:row>3</xdr:row>
      <xdr:rowOff>76200</xdr:rowOff>
    </xdr:from>
    <xdr:to>
      <xdr:col>3</xdr:col>
      <xdr:colOff>652735</xdr:colOff>
      <xdr:row>8</xdr:row>
      <xdr:rowOff>11600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2D441DC1-05B3-45C6-A36C-A45DB3FEFE86}"/>
            </a:ext>
          </a:extLst>
        </xdr:cNvPr>
        <xdr:cNvSpPr/>
      </xdr:nvSpPr>
      <xdr:spPr>
        <a:xfrm>
          <a:off x="638991" y="624840"/>
          <a:ext cx="1796824" cy="849800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156828</xdr:colOff>
      <xdr:row>8</xdr:row>
      <xdr:rowOff>135799</xdr:rowOff>
    </xdr:from>
    <xdr:to>
      <xdr:col>15</xdr:col>
      <xdr:colOff>677110</xdr:colOff>
      <xdr:row>14</xdr:row>
      <xdr:rowOff>32064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0296BC0E-D88D-472F-8FD9-0532836E1DCD}"/>
            </a:ext>
          </a:extLst>
        </xdr:cNvPr>
        <xdr:cNvSpPr/>
      </xdr:nvSpPr>
      <xdr:spPr>
        <a:xfrm>
          <a:off x="7535320" y="1601504"/>
          <a:ext cx="3868085" cy="995544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650948</xdr:colOff>
      <xdr:row>3</xdr:row>
      <xdr:rowOff>76200</xdr:rowOff>
    </xdr:from>
    <xdr:to>
      <xdr:col>7</xdr:col>
      <xdr:colOff>45640</xdr:colOff>
      <xdr:row>8</xdr:row>
      <xdr:rowOff>11600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99A92B64-ADAC-463E-A046-3F2768A452D3}"/>
            </a:ext>
          </a:extLst>
        </xdr:cNvPr>
        <xdr:cNvSpPr/>
      </xdr:nvSpPr>
      <xdr:spPr>
        <a:xfrm>
          <a:off x="3234128" y="624840"/>
          <a:ext cx="1794992" cy="849800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768166</xdr:colOff>
      <xdr:row>3</xdr:row>
      <xdr:rowOff>76200</xdr:rowOff>
    </xdr:from>
    <xdr:to>
      <xdr:col>10</xdr:col>
      <xdr:colOff>161426</xdr:colOff>
      <xdr:row>8</xdr:row>
      <xdr:rowOff>11600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0C7F1BCF-5203-484A-A349-223447FFAEDE}"/>
            </a:ext>
          </a:extLst>
        </xdr:cNvPr>
        <xdr:cNvSpPr/>
      </xdr:nvSpPr>
      <xdr:spPr>
        <a:xfrm>
          <a:off x="5751646" y="624840"/>
          <a:ext cx="1793560" cy="849800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636740</xdr:colOff>
      <xdr:row>0</xdr:row>
      <xdr:rowOff>142256</xdr:rowOff>
    </xdr:from>
    <xdr:to>
      <xdr:col>3</xdr:col>
      <xdr:colOff>200187</xdr:colOff>
      <xdr:row>2</xdr:row>
      <xdr:rowOff>133675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29D183C-E517-4831-B562-2DF2148F0D65}"/>
            </a:ext>
          </a:extLst>
        </xdr:cNvPr>
        <xdr:cNvSpPr/>
      </xdr:nvSpPr>
      <xdr:spPr>
        <a:xfrm>
          <a:off x="1619720" y="142256"/>
          <a:ext cx="363547" cy="357179"/>
        </a:xfrm>
        <a:prstGeom prst="ellipse">
          <a:avLst/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2</xdr:col>
      <xdr:colOff>634068</xdr:colOff>
      <xdr:row>0</xdr:row>
      <xdr:rowOff>142256</xdr:rowOff>
    </xdr:from>
    <xdr:ext cx="366267" cy="358812"/>
    <xdr:pic>
      <xdr:nvPicPr>
        <xdr:cNvPr id="13" name="Gráfico 12" descr="Flecha circular con relleno sólido">
          <a:extLst>
            <a:ext uri="{FF2B5EF4-FFF2-40B4-BE49-F238E27FC236}">
              <a16:creationId xmlns:a16="http://schemas.microsoft.com/office/drawing/2014/main" id="{3402727E-00C9-4CFA-9776-F8FAD0E7B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17048" y="142256"/>
          <a:ext cx="366267" cy="358812"/>
        </a:xfrm>
        <a:prstGeom prst="rect">
          <a:avLst/>
        </a:prstGeom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</xdr:pic>
    <xdr:clientData/>
  </xdr:oneCellAnchor>
  <xdr:twoCellAnchor>
    <xdr:from>
      <xdr:col>3</xdr:col>
      <xdr:colOff>247076</xdr:colOff>
      <xdr:row>0</xdr:row>
      <xdr:rowOff>80661</xdr:rowOff>
    </xdr:from>
    <xdr:to>
      <xdr:col>7</xdr:col>
      <xdr:colOff>670822</xdr:colOff>
      <xdr:row>3</xdr:row>
      <xdr:rowOff>59301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BA099151-D58C-4E25-AC7A-A72CECA8863A}"/>
            </a:ext>
          </a:extLst>
        </xdr:cNvPr>
        <xdr:cNvSpPr txBox="1"/>
      </xdr:nvSpPr>
      <xdr:spPr>
        <a:xfrm>
          <a:off x="2030156" y="80661"/>
          <a:ext cx="3624146" cy="527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Dashboard</a:t>
          </a:r>
          <a:r>
            <a:rPr lang="es-MX" sz="1400" b="1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 - Resultados Presupuestales y Ahorros</a:t>
          </a:r>
          <a:endParaRPr lang="es-MX" sz="14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</xdr:col>
      <xdr:colOff>418354</xdr:colOff>
      <xdr:row>5</xdr:row>
      <xdr:rowOff>87312</xdr:rowOff>
    </xdr:from>
    <xdr:to>
      <xdr:col>3</xdr:col>
      <xdr:colOff>444502</xdr:colOff>
      <xdr:row>6</xdr:row>
      <xdr:rowOff>82176</xdr:rowOff>
    </xdr:to>
    <xdr:sp macro="" textlink="Info!C4">
      <xdr:nvSpPr>
        <xdr:cNvPr id="96" name="CuadroTexto 14">
          <a:extLst>
            <a:ext uri="{FF2B5EF4-FFF2-40B4-BE49-F238E27FC236}">
              <a16:creationId xmlns:a16="http://schemas.microsoft.com/office/drawing/2014/main" id="{53741BAA-7558-41D7-B6BD-E16DD503500D}"/>
            </a:ext>
          </a:extLst>
        </xdr:cNvPr>
        <xdr:cNvSpPr txBox="1"/>
      </xdr:nvSpPr>
      <xdr:spPr>
        <a:xfrm>
          <a:off x="597648" y="983783"/>
          <a:ext cx="1624854" cy="174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506A9EC6-0DC4-44DD-BEE1-9C23FB5CC06C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-$641,421.70 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575482</xdr:colOff>
      <xdr:row>3</xdr:row>
      <xdr:rowOff>115661</xdr:rowOff>
    </xdr:from>
    <xdr:to>
      <xdr:col>3</xdr:col>
      <xdr:colOff>534881</xdr:colOff>
      <xdr:row>5</xdr:row>
      <xdr:rowOff>18965</xdr:rowOff>
    </xdr:to>
    <xdr:sp macro="" textlink="">
      <xdr:nvSpPr>
        <xdr:cNvPr id="104" name="CuadroTexto 15">
          <a:extLst>
            <a:ext uri="{FF2B5EF4-FFF2-40B4-BE49-F238E27FC236}">
              <a16:creationId xmlns:a16="http://schemas.microsoft.com/office/drawing/2014/main" id="{D5230911-36A9-431D-A6B8-691B9BE71E98}"/>
            </a:ext>
          </a:extLst>
        </xdr:cNvPr>
        <xdr:cNvSpPr txBox="1"/>
      </xdr:nvSpPr>
      <xdr:spPr>
        <a:xfrm>
          <a:off x="759178" y="666750"/>
          <a:ext cx="1565042" cy="270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 b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Ahorro 2026</a:t>
          </a:r>
        </a:p>
        <a:p>
          <a:pPr algn="ctr"/>
          <a:endParaRPr lang="es-MX" sz="1000" b="0">
            <a:solidFill>
              <a:srgbClr val="2E2F3C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8</xdr:col>
      <xdr:colOff>367548</xdr:colOff>
      <xdr:row>3</xdr:row>
      <xdr:rowOff>25451</xdr:rowOff>
    </xdr:from>
    <xdr:to>
      <xdr:col>9</xdr:col>
      <xdr:colOff>534275</xdr:colOff>
      <xdr:row>4</xdr:row>
      <xdr:rowOff>87615</xdr:rowOff>
    </xdr:to>
    <xdr:sp macro="" textlink="">
      <xdr:nvSpPr>
        <xdr:cNvPr id="101" name="CuadroTexto 16">
          <a:extLst>
            <a:ext uri="{FF2B5EF4-FFF2-40B4-BE49-F238E27FC236}">
              <a16:creationId xmlns:a16="http://schemas.microsoft.com/office/drawing/2014/main" id="{61DDDDEF-9750-45F2-8EF3-08CCF3D8760D}"/>
            </a:ext>
          </a:extLst>
        </xdr:cNvPr>
        <xdr:cNvSpPr txBox="1"/>
      </xdr:nvSpPr>
      <xdr:spPr>
        <a:xfrm>
          <a:off x="6178845" y="578110"/>
          <a:ext cx="970595" cy="246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Ejecución % 2026</a:t>
          </a:r>
          <a:endParaRPr lang="es-MX" sz="800" b="0">
            <a:solidFill>
              <a:srgbClr val="FF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5</xdr:col>
      <xdr:colOff>223092</xdr:colOff>
      <xdr:row>3</xdr:row>
      <xdr:rowOff>112120</xdr:rowOff>
    </xdr:from>
    <xdr:to>
      <xdr:col>6</xdr:col>
      <xdr:colOff>466430</xdr:colOff>
      <xdr:row>8</xdr:row>
      <xdr:rowOff>119530</xdr:rowOff>
    </xdr:to>
    <xdr:graphicFrame macro="">
      <xdr:nvGraphicFramePr>
        <xdr:cNvPr id="100" name="Gráfico 17">
          <a:extLst>
            <a:ext uri="{FF2B5EF4-FFF2-40B4-BE49-F238E27FC236}">
              <a16:creationId xmlns:a16="http://schemas.microsoft.com/office/drawing/2014/main" id="{D9737A8B-B55F-4489-ABD7-9D689FBDE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150068</xdr:colOff>
      <xdr:row>3</xdr:row>
      <xdr:rowOff>39146</xdr:rowOff>
    </xdr:from>
    <xdr:to>
      <xdr:col>6</xdr:col>
      <xdr:colOff>581504</xdr:colOff>
      <xdr:row>4</xdr:row>
      <xdr:rowOff>99879</xdr:rowOff>
    </xdr:to>
    <xdr:sp macro="" textlink="">
      <xdr:nvSpPr>
        <xdr:cNvPr id="106" name="CuadroTexto 18">
          <a:extLst>
            <a:ext uri="{FF2B5EF4-FFF2-40B4-BE49-F238E27FC236}">
              <a16:creationId xmlns:a16="http://schemas.microsoft.com/office/drawing/2014/main" id="{6B12CE75-0F71-4E8D-A3B6-A28FBA441560}"/>
            </a:ext>
          </a:extLst>
        </xdr:cNvPr>
        <xdr:cNvSpPr txBox="1"/>
      </xdr:nvSpPr>
      <xdr:spPr>
        <a:xfrm>
          <a:off x="3537813" y="592445"/>
          <a:ext cx="1232264" cy="245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rgbClr val="1391A6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Ahorro </a:t>
          </a:r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porcentual 2026</a:t>
          </a:r>
        </a:p>
        <a:p>
          <a:pPr algn="l"/>
          <a:endParaRPr lang="es-MX" sz="800" b="0">
            <a:solidFill>
              <a:srgbClr val="1391A6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5</xdr:col>
      <xdr:colOff>364634</xdr:colOff>
      <xdr:row>5</xdr:row>
      <xdr:rowOff>20764</xdr:rowOff>
    </xdr:from>
    <xdr:to>
      <xdr:col>6</xdr:col>
      <xdr:colOff>247063</xdr:colOff>
      <xdr:row>7</xdr:row>
      <xdr:rowOff>10403</xdr:rowOff>
    </xdr:to>
    <xdr:sp macro="" textlink="Info!C3">
      <xdr:nvSpPr>
        <xdr:cNvPr id="98" name="CuadroTexto 19">
          <a:extLst>
            <a:ext uri="{FF2B5EF4-FFF2-40B4-BE49-F238E27FC236}">
              <a16:creationId xmlns:a16="http://schemas.microsoft.com/office/drawing/2014/main" id="{CC5A3FE3-8FB4-443C-949F-A3AFEAE56434}"/>
            </a:ext>
          </a:extLst>
        </xdr:cNvPr>
        <xdr:cNvSpPr txBox="1"/>
      </xdr:nvSpPr>
      <xdr:spPr>
        <a:xfrm>
          <a:off x="3764326" y="941863"/>
          <a:ext cx="686297" cy="358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530474F0-B7D9-45DE-9607-BF53377863A8}" type="TxLink">
            <a:rPr lang="en-US" sz="10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30.31%</a:t>
          </a:fld>
          <a:endParaRPr lang="es-MX" sz="10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677059</xdr:colOff>
      <xdr:row>9</xdr:row>
      <xdr:rowOff>36667</xdr:rowOff>
    </xdr:from>
    <xdr:to>
      <xdr:col>4</xdr:col>
      <xdr:colOff>612717</xdr:colOff>
      <xdr:row>10</xdr:row>
      <xdr:rowOff>59064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4CBF7F64-E661-445F-9C9E-152CC8E55FB7}"/>
            </a:ext>
          </a:extLst>
        </xdr:cNvPr>
        <xdr:cNvGrpSpPr/>
      </xdr:nvGrpSpPr>
      <xdr:grpSpPr>
        <a:xfrm>
          <a:off x="1660039" y="1682587"/>
          <a:ext cx="1535858" cy="205277"/>
          <a:chOff x="1254458" y="1625445"/>
          <a:chExt cx="5963258" cy="215859"/>
        </a:xfrm>
      </xdr:grpSpPr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BA6214E9-D6E5-C4E7-A8BF-B28670BA399E}"/>
              </a:ext>
            </a:extLst>
          </xdr:cNvPr>
          <xdr:cNvSpPr txBox="1"/>
        </xdr:nvSpPr>
        <xdr:spPr>
          <a:xfrm>
            <a:off x="1254458" y="1625445"/>
            <a:ext cx="5963258" cy="2158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s-MX" sz="1000" b="0">
                <a:solidFill>
                  <a:sysClr val="windowText" lastClr="000000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ranklin Gothic Medium" panose="020B0603020102020204" pitchFamily="34" charset="0"/>
              </a:rPr>
              <a:t>Costo</a:t>
            </a:r>
            <a:r>
              <a:rPr lang="es-MX" sz="1000" b="0" baseline="0">
                <a:solidFill>
                  <a:sysClr val="windowText" lastClr="000000"/>
                </a:solidFill>
                <a:effectLst>
                  <a:outerShdw blurRad="63500" dist="63500" dir="2700000" algn="tl" rotWithShape="0">
                    <a:prstClr val="black">
                      <a:alpha val="50000"/>
                    </a:prstClr>
                  </a:outerShdw>
                </a:effectLst>
                <a:latin typeface="Franklin Gothic Medium" panose="020B0603020102020204" pitchFamily="34" charset="0"/>
              </a:rPr>
              <a:t> Total</a:t>
            </a:r>
            <a:endParaRPr lang="es-MX" sz="10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endParaRPr>
          </a:p>
        </xdr:txBody>
      </xdr:sp>
      <xdr:cxnSp macro="">
        <xdr:nvCxnSpPr>
          <xdr:cNvPr id="23" name="Conector recto 22">
            <a:extLst>
              <a:ext uri="{FF2B5EF4-FFF2-40B4-BE49-F238E27FC236}">
                <a16:creationId xmlns:a16="http://schemas.microsoft.com/office/drawing/2014/main" id="{4BE3A91C-30BD-0ADC-DE79-3679C3C914C2}"/>
              </a:ext>
            </a:extLst>
          </xdr:cNvPr>
          <xdr:cNvCxnSpPr/>
        </xdr:nvCxnSpPr>
        <xdr:spPr>
          <a:xfrm>
            <a:off x="1441604" y="1646128"/>
            <a:ext cx="1921" cy="191459"/>
          </a:xfrm>
          <a:prstGeom prst="line">
            <a:avLst/>
          </a:prstGeom>
          <a:ln w="25400">
            <a:solidFill>
              <a:schemeClr val="bg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691994</xdr:colOff>
      <xdr:row>12</xdr:row>
      <xdr:rowOff>173677</xdr:rowOff>
    </xdr:from>
    <xdr:to>
      <xdr:col>5</xdr:col>
      <xdr:colOff>253111</xdr:colOff>
      <xdr:row>14</xdr:row>
      <xdr:rowOff>80779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221E83F1-2681-40E0-BEEC-DB3F1DA8002F}"/>
            </a:ext>
          </a:extLst>
        </xdr:cNvPr>
        <xdr:cNvSpPr txBox="1"/>
      </xdr:nvSpPr>
      <xdr:spPr>
        <a:xfrm>
          <a:off x="1674974" y="2368237"/>
          <a:ext cx="1961417" cy="272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0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Costo</a:t>
          </a:r>
          <a:r>
            <a:rPr lang="es-MX" sz="10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 Total Presupuestada</a:t>
          </a:r>
          <a:endParaRPr lang="es-MX" sz="10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2</xdr:col>
      <xdr:colOff>738144</xdr:colOff>
      <xdr:row>13</xdr:row>
      <xdr:rowOff>23347</xdr:rowOff>
    </xdr:from>
    <xdr:to>
      <xdr:col>2</xdr:col>
      <xdr:colOff>738144</xdr:colOff>
      <xdr:row>14</xdr:row>
      <xdr:rowOff>11940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92E1584D-A021-4FE6-85FF-FE23134344A7}"/>
            </a:ext>
          </a:extLst>
        </xdr:cNvPr>
        <xdr:cNvCxnSpPr/>
      </xdr:nvCxnSpPr>
      <xdr:spPr>
        <a:xfrm>
          <a:off x="1721124" y="2400787"/>
          <a:ext cx="0" cy="171473"/>
        </a:xfrm>
        <a:prstGeom prst="line">
          <a:avLst/>
        </a:prstGeom>
        <a:ln w="2540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625649</xdr:colOff>
      <xdr:row>16</xdr:row>
      <xdr:rowOff>174480</xdr:rowOff>
    </xdr:from>
    <xdr:to>
      <xdr:col>3</xdr:col>
      <xdr:colOff>690434</xdr:colOff>
      <xdr:row>18</xdr:row>
      <xdr:rowOff>147484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1BB8FCA5-93AB-4744-A839-4A14D66BAEF9}"/>
            </a:ext>
          </a:extLst>
        </xdr:cNvPr>
        <xdr:cNvSpPr txBox="1"/>
      </xdr:nvSpPr>
      <xdr:spPr>
        <a:xfrm>
          <a:off x="1608629" y="3100560"/>
          <a:ext cx="864885" cy="338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Ahorro / Sobre‑gasto</a:t>
          </a:r>
        </a:p>
      </xdr:txBody>
    </xdr:sp>
    <xdr:clientData/>
  </xdr:twoCellAnchor>
  <xdr:twoCellAnchor>
    <xdr:from>
      <xdr:col>3</xdr:col>
      <xdr:colOff>54900</xdr:colOff>
      <xdr:row>10</xdr:row>
      <xdr:rowOff>97469</xdr:rowOff>
    </xdr:from>
    <xdr:to>
      <xdr:col>5</xdr:col>
      <xdr:colOff>86783</xdr:colOff>
      <xdr:row>12</xdr:row>
      <xdr:rowOff>98036</xdr:rowOff>
    </xdr:to>
    <xdr:sp macro="" textlink="Info!C2">
      <xdr:nvSpPr>
        <xdr:cNvPr id="30" name="CuadroTexto 29">
          <a:extLst>
            <a:ext uri="{FF2B5EF4-FFF2-40B4-BE49-F238E27FC236}">
              <a16:creationId xmlns:a16="http://schemas.microsoft.com/office/drawing/2014/main" id="{E8505219-0CCE-4A06-A1C8-F27FF5724A13}"/>
            </a:ext>
          </a:extLst>
        </xdr:cNvPr>
        <xdr:cNvSpPr txBox="1"/>
      </xdr:nvSpPr>
      <xdr:spPr>
        <a:xfrm>
          <a:off x="1837980" y="1926269"/>
          <a:ext cx="1632083" cy="366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B4E2758E-4E79-4C77-AD2C-ECF5563FB62C}" type="TxLink">
            <a:rPr lang="en-US" sz="12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$1,475,048.25 </a:t>
          </a:fld>
          <a:endParaRPr lang="es-MX" sz="12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66226</xdr:colOff>
      <xdr:row>18</xdr:row>
      <xdr:rowOff>80838</xdr:rowOff>
    </xdr:from>
    <xdr:to>
      <xdr:col>5</xdr:col>
      <xdr:colOff>12359</xdr:colOff>
      <xdr:row>20</xdr:row>
      <xdr:rowOff>81407</xdr:rowOff>
    </xdr:to>
    <xdr:sp macro="" textlink="Info!C45">
      <xdr:nvSpPr>
        <xdr:cNvPr id="31" name="CuadroTexto 30">
          <a:extLst>
            <a:ext uri="{FF2B5EF4-FFF2-40B4-BE49-F238E27FC236}">
              <a16:creationId xmlns:a16="http://schemas.microsoft.com/office/drawing/2014/main" id="{DDDCB759-062A-49DF-B109-4D541AEB0207}"/>
            </a:ext>
          </a:extLst>
        </xdr:cNvPr>
        <xdr:cNvSpPr txBox="1"/>
      </xdr:nvSpPr>
      <xdr:spPr>
        <a:xfrm>
          <a:off x="1849306" y="3372678"/>
          <a:ext cx="1546333" cy="3663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F7181893-60C8-4772-B155-DF0A0402B0A6}" type="TxLink">
            <a:rPr lang="en-US" sz="105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-$641,421.70 </a:t>
          </a:fld>
          <a:endParaRPr lang="es-MX" sz="105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73897</xdr:colOff>
      <xdr:row>14</xdr:row>
      <xdr:rowOff>63318</xdr:rowOff>
    </xdr:from>
    <xdr:to>
      <xdr:col>5</xdr:col>
      <xdr:colOff>77633</xdr:colOff>
      <xdr:row>16</xdr:row>
      <xdr:rowOff>63884</xdr:rowOff>
    </xdr:to>
    <xdr:sp macro="" textlink="Info!C1">
      <xdr:nvSpPr>
        <xdr:cNvPr id="32" name="CuadroTexto 31">
          <a:extLst>
            <a:ext uri="{FF2B5EF4-FFF2-40B4-BE49-F238E27FC236}">
              <a16:creationId xmlns:a16="http://schemas.microsoft.com/office/drawing/2014/main" id="{A958E126-8FBF-4AD5-8DDC-31956B1C493D}"/>
            </a:ext>
          </a:extLst>
        </xdr:cNvPr>
        <xdr:cNvSpPr txBox="1"/>
      </xdr:nvSpPr>
      <xdr:spPr>
        <a:xfrm>
          <a:off x="1856977" y="2623638"/>
          <a:ext cx="1603936" cy="366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0D8BCE0D-EB40-4C2F-A437-1FCED476D51F}" type="TxLink">
            <a:rPr lang="en-US" sz="12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$2,116,469.95 </a:t>
          </a:fld>
          <a:endParaRPr lang="es-MX" sz="12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471949</xdr:colOff>
      <xdr:row>19</xdr:row>
      <xdr:rowOff>22729</xdr:rowOff>
    </xdr:from>
    <xdr:to>
      <xdr:col>7</xdr:col>
      <xdr:colOff>95383</xdr:colOff>
      <xdr:row>21</xdr:row>
      <xdr:rowOff>38983</xdr:rowOff>
    </xdr:to>
    <xdr:sp macro="" textlink="">
      <xdr:nvSpPr>
        <xdr:cNvPr id="114" name="CuadroTexto 38">
          <a:extLst>
            <a:ext uri="{FF2B5EF4-FFF2-40B4-BE49-F238E27FC236}">
              <a16:creationId xmlns:a16="http://schemas.microsoft.com/office/drawing/2014/main" id="{70C01FDA-D34D-48DB-A6A1-D49B58634BBF}"/>
            </a:ext>
          </a:extLst>
        </xdr:cNvPr>
        <xdr:cNvSpPr txBox="1"/>
      </xdr:nvSpPr>
      <xdr:spPr>
        <a:xfrm>
          <a:off x="3859965" y="3483605"/>
          <a:ext cx="1226366" cy="380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Variación Real 2026 vs Real 2025</a:t>
          </a:r>
        </a:p>
        <a:p>
          <a:pPr algn="l"/>
          <a:r>
            <a:rPr lang="es-MX" sz="8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 </a:t>
          </a:r>
        </a:p>
      </xdr:txBody>
    </xdr:sp>
    <xdr:clientData/>
  </xdr:twoCellAnchor>
  <xdr:twoCellAnchor>
    <xdr:from>
      <xdr:col>5</xdr:col>
      <xdr:colOff>445974</xdr:colOff>
      <xdr:row>19</xdr:row>
      <xdr:rowOff>81441</xdr:rowOff>
    </xdr:from>
    <xdr:to>
      <xdr:col>5</xdr:col>
      <xdr:colOff>445974</xdr:colOff>
      <xdr:row>20</xdr:row>
      <xdr:rowOff>114639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E32E3530-26CC-45A4-AFD8-69D6FD9F7AB1}"/>
            </a:ext>
          </a:extLst>
        </xdr:cNvPr>
        <xdr:cNvCxnSpPr/>
      </xdr:nvCxnSpPr>
      <xdr:spPr>
        <a:xfrm>
          <a:off x="3833990" y="3542317"/>
          <a:ext cx="0" cy="215350"/>
        </a:xfrm>
        <a:prstGeom prst="line">
          <a:avLst/>
        </a:prstGeom>
        <a:ln w="2540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227878</xdr:colOff>
      <xdr:row>21</xdr:row>
      <xdr:rowOff>74961</xdr:rowOff>
    </xdr:from>
    <xdr:to>
      <xdr:col>7</xdr:col>
      <xdr:colOff>132741</xdr:colOff>
      <xdr:row>22</xdr:row>
      <xdr:rowOff>108799</xdr:rowOff>
    </xdr:to>
    <xdr:sp macro="" textlink="Info!C60">
      <xdr:nvSpPr>
        <xdr:cNvPr id="41" name="CuadroTexto 40">
          <a:extLst>
            <a:ext uri="{FF2B5EF4-FFF2-40B4-BE49-F238E27FC236}">
              <a16:creationId xmlns:a16="http://schemas.microsoft.com/office/drawing/2014/main" id="{8C44AF6F-F586-44A2-BFE3-E5201370EF7F}"/>
            </a:ext>
          </a:extLst>
        </xdr:cNvPr>
        <xdr:cNvSpPr txBox="1"/>
      </xdr:nvSpPr>
      <xdr:spPr>
        <a:xfrm>
          <a:off x="3627570" y="3943576"/>
          <a:ext cx="1512600" cy="218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E99C5A41-D644-4534-BEDB-D9C1C6DDB4E3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$70,656.80 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733591</xdr:colOff>
      <xdr:row>18</xdr:row>
      <xdr:rowOff>71443</xdr:rowOff>
    </xdr:from>
    <xdr:to>
      <xdr:col>9</xdr:col>
      <xdr:colOff>109138</xdr:colOff>
      <xdr:row>24</xdr:row>
      <xdr:rowOff>53110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3144EF93-82FB-432A-A787-D7B95B207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34985</xdr:colOff>
      <xdr:row>20</xdr:row>
      <xdr:rowOff>74709</xdr:rowOff>
    </xdr:from>
    <xdr:to>
      <xdr:col>8</xdr:col>
      <xdr:colOff>755622</xdr:colOff>
      <xdr:row>22</xdr:row>
      <xdr:rowOff>75273</xdr:rowOff>
    </xdr:to>
    <xdr:sp macro="" textlink="Info!C59">
      <xdr:nvSpPr>
        <xdr:cNvPr id="43" name="CuadroTexto 42">
          <a:extLst>
            <a:ext uri="{FF2B5EF4-FFF2-40B4-BE49-F238E27FC236}">
              <a16:creationId xmlns:a16="http://schemas.microsoft.com/office/drawing/2014/main" id="{B6961161-49A5-4E42-86D3-5D4301FCE6FA}"/>
            </a:ext>
          </a:extLst>
        </xdr:cNvPr>
        <xdr:cNvSpPr txBox="1"/>
      </xdr:nvSpPr>
      <xdr:spPr>
        <a:xfrm>
          <a:off x="5846282" y="3759105"/>
          <a:ext cx="720637" cy="369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BC1D48AB-8031-4024-AA87-B0A5FCBD37F5}" type="TxLink">
            <a:rPr lang="en-US" sz="10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5.03%</a:t>
          </a:fld>
          <a:endParaRPr lang="es-MX" sz="10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342512</xdr:colOff>
      <xdr:row>3</xdr:row>
      <xdr:rowOff>72633</xdr:rowOff>
    </xdr:from>
    <xdr:to>
      <xdr:col>9</xdr:col>
      <xdr:colOff>583420</xdr:colOff>
      <xdr:row>8</xdr:row>
      <xdr:rowOff>107929</xdr:rowOff>
    </xdr:to>
    <xdr:graphicFrame macro="">
      <xdr:nvGraphicFramePr>
        <xdr:cNvPr id="102" name="Gráfico 44">
          <a:extLst>
            <a:ext uri="{FF2B5EF4-FFF2-40B4-BE49-F238E27FC236}">
              <a16:creationId xmlns:a16="http://schemas.microsoft.com/office/drawing/2014/main" id="{0D1F04F8-A9B4-4C5F-A9BE-A86649579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751003</xdr:colOff>
      <xdr:row>8</xdr:row>
      <xdr:rowOff>121116</xdr:rowOff>
    </xdr:from>
    <xdr:to>
      <xdr:col>3</xdr:col>
      <xdr:colOff>659563</xdr:colOff>
      <xdr:row>10</xdr:row>
      <xdr:rowOff>121683</xdr:rowOff>
    </xdr:to>
    <xdr:sp macro="" textlink="[1]Info!P15">
      <xdr:nvSpPr>
        <xdr:cNvPr id="46" name="CuadroTexto 45">
          <a:extLst>
            <a:ext uri="{FF2B5EF4-FFF2-40B4-BE49-F238E27FC236}">
              <a16:creationId xmlns:a16="http://schemas.microsoft.com/office/drawing/2014/main" id="{05B2A133-1F31-44CE-84C4-433D023F1457}"/>
            </a:ext>
          </a:extLst>
        </xdr:cNvPr>
        <xdr:cNvSpPr txBox="1"/>
      </xdr:nvSpPr>
      <xdr:spPr>
        <a:xfrm>
          <a:off x="1733983" y="1584156"/>
          <a:ext cx="708660" cy="366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12DCCCD0-2DD5-4BC3-BC0A-E9CDFE9DBC83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346827</xdr:colOff>
      <xdr:row>9</xdr:row>
      <xdr:rowOff>107626</xdr:rowOff>
    </xdr:from>
    <xdr:to>
      <xdr:col>11</xdr:col>
      <xdr:colOff>495827</xdr:colOff>
      <xdr:row>11</xdr:row>
      <xdr:rowOff>134821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DA6848D8-E161-4E48-87BD-6A5E2B0242E7}"/>
            </a:ext>
          </a:extLst>
        </xdr:cNvPr>
        <xdr:cNvSpPr txBox="1"/>
      </xdr:nvSpPr>
      <xdr:spPr>
        <a:xfrm>
          <a:off x="7725319" y="1756544"/>
          <a:ext cx="948475" cy="393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Mes con mayor ahorro 2026</a:t>
          </a:r>
        </a:p>
        <a:p>
          <a:pPr algn="l"/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</xdr:col>
      <xdr:colOff>358140</xdr:colOff>
      <xdr:row>18</xdr:row>
      <xdr:rowOff>94129</xdr:rowOff>
    </xdr:from>
    <xdr:to>
      <xdr:col>2</xdr:col>
      <xdr:colOff>281940</xdr:colOff>
      <xdr:row>19</xdr:row>
      <xdr:rowOff>86700</xdr:rowOff>
    </xdr:to>
    <xdr:sp macro="" textlink="[1]Info!Q33">
      <xdr:nvSpPr>
        <xdr:cNvPr id="48" name="CuadroTexto 47">
          <a:extLst>
            <a:ext uri="{FF2B5EF4-FFF2-40B4-BE49-F238E27FC236}">
              <a16:creationId xmlns:a16="http://schemas.microsoft.com/office/drawing/2014/main" id="{7770AAD4-2C49-4F7F-B796-B2C1CC2E7B74}"/>
            </a:ext>
          </a:extLst>
        </xdr:cNvPr>
        <xdr:cNvSpPr txBox="1"/>
      </xdr:nvSpPr>
      <xdr:spPr>
        <a:xfrm>
          <a:off x="541020" y="3385969"/>
          <a:ext cx="723900" cy="175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819E8C5-5F87-4611-98AD-DD57F0CCE8B0}" type="TxLink">
            <a:rPr lang="en-US" sz="600" b="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600" b="0">
            <a:solidFill>
              <a:srgbClr val="FFFFFF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325861</xdr:colOff>
      <xdr:row>11</xdr:row>
      <xdr:rowOff>83967</xdr:rowOff>
    </xdr:from>
    <xdr:to>
      <xdr:col>11</xdr:col>
      <xdr:colOff>195954</xdr:colOff>
      <xdr:row>12</xdr:row>
      <xdr:rowOff>75270</xdr:rowOff>
    </xdr:to>
    <xdr:sp macro="" textlink="Info!C41">
      <xdr:nvSpPr>
        <xdr:cNvPr id="49" name="CuadroTexto 48">
          <a:extLst>
            <a:ext uri="{FF2B5EF4-FFF2-40B4-BE49-F238E27FC236}">
              <a16:creationId xmlns:a16="http://schemas.microsoft.com/office/drawing/2014/main" id="{E3945E51-C724-481F-A0B6-43DB8949F6FC}"/>
            </a:ext>
          </a:extLst>
        </xdr:cNvPr>
        <xdr:cNvSpPr txBox="1"/>
      </xdr:nvSpPr>
      <xdr:spPr>
        <a:xfrm>
          <a:off x="7704353" y="2099311"/>
          <a:ext cx="669568" cy="174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2BE8CD6-A962-4B4B-AB2E-B1071E41EA58}" type="TxLink">
            <a:rPr lang="en-US" sz="800" b="0" i="0" u="none" strike="noStrike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Enero</a:t>
          </a:fld>
          <a:endParaRPr lang="es-MX" sz="800" b="0" i="0" u="none" strike="noStrike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61968</xdr:colOff>
      <xdr:row>11</xdr:row>
      <xdr:rowOff>79609</xdr:rowOff>
    </xdr:from>
    <xdr:to>
      <xdr:col>13</xdr:col>
      <xdr:colOff>175259</xdr:colOff>
      <xdr:row>12</xdr:row>
      <xdr:rowOff>60961</xdr:rowOff>
    </xdr:to>
    <xdr:sp macro="" textlink="Info!C42">
      <xdr:nvSpPr>
        <xdr:cNvPr id="50" name="CuadroTexto 49">
          <a:extLst>
            <a:ext uri="{FF2B5EF4-FFF2-40B4-BE49-F238E27FC236}">
              <a16:creationId xmlns:a16="http://schemas.microsoft.com/office/drawing/2014/main" id="{D2BD4944-1599-4C75-9ECF-D5A8203FF0ED}"/>
            </a:ext>
          </a:extLst>
        </xdr:cNvPr>
        <xdr:cNvSpPr txBox="1"/>
      </xdr:nvSpPr>
      <xdr:spPr>
        <a:xfrm>
          <a:off x="8245848" y="2091289"/>
          <a:ext cx="1096271" cy="164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9F70879F-4343-4694-9A3D-47FA09A671A0}" type="TxLink">
            <a:rPr lang="en-US" sz="800" b="0" i="0" u="none" strike="noStrike">
              <a:solidFill>
                <a:srgbClr val="00206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-$701,153.90 </a:t>
          </a:fld>
          <a:endParaRPr lang="es-MX" sz="800" b="0" i="0" u="none" strike="noStrike">
            <a:solidFill>
              <a:srgbClr val="00206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506078</xdr:colOff>
      <xdr:row>9</xdr:row>
      <xdr:rowOff>97775</xdr:rowOff>
    </xdr:from>
    <xdr:to>
      <xdr:col>14</xdr:col>
      <xdr:colOff>685197</xdr:colOff>
      <xdr:row>11</xdr:row>
      <xdr:rowOff>61702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B4D935B3-1767-4341-B7F2-D8BAAF6B802B}"/>
            </a:ext>
          </a:extLst>
        </xdr:cNvPr>
        <xdr:cNvSpPr txBox="1"/>
      </xdr:nvSpPr>
      <xdr:spPr>
        <a:xfrm>
          <a:off x="9666734" y="1746693"/>
          <a:ext cx="961938" cy="330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Mes con</a:t>
          </a:r>
          <a:r>
            <a:rPr lang="es-MX" sz="8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 mayor sobregasto 2026</a:t>
          </a:r>
        </a:p>
      </xdr:txBody>
    </xdr:sp>
    <xdr:clientData/>
  </xdr:twoCellAnchor>
  <xdr:twoCellAnchor>
    <xdr:from>
      <xdr:col>14</xdr:col>
      <xdr:colOff>296735</xdr:colOff>
      <xdr:row>11</xdr:row>
      <xdr:rowOff>78019</xdr:rowOff>
    </xdr:from>
    <xdr:to>
      <xdr:col>15</xdr:col>
      <xdr:colOff>456571</xdr:colOff>
      <xdr:row>12</xdr:row>
      <xdr:rowOff>84970</xdr:rowOff>
    </xdr:to>
    <xdr:sp macro="" textlink="Info!C44">
      <xdr:nvSpPr>
        <xdr:cNvPr id="52" name="CuadroTexto 51">
          <a:extLst>
            <a:ext uri="{FF2B5EF4-FFF2-40B4-BE49-F238E27FC236}">
              <a16:creationId xmlns:a16="http://schemas.microsoft.com/office/drawing/2014/main" id="{051E2491-36E4-4C0B-9F29-2C25805FF634}"/>
            </a:ext>
          </a:extLst>
        </xdr:cNvPr>
        <xdr:cNvSpPr txBox="1"/>
      </xdr:nvSpPr>
      <xdr:spPr>
        <a:xfrm>
          <a:off x="10232617" y="2050254"/>
          <a:ext cx="944248" cy="186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07D8B30D-15B2-4D69-A1A2-F424F013641E}" type="TxLink">
            <a:rPr lang="en-US" sz="800" b="0" i="0" u="none" strike="noStrike">
              <a:solidFill>
                <a:srgbClr val="FF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FF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470357</xdr:colOff>
      <xdr:row>11</xdr:row>
      <xdr:rowOff>75198</xdr:rowOff>
    </xdr:from>
    <xdr:to>
      <xdr:col>14</xdr:col>
      <xdr:colOff>335384</xdr:colOff>
      <xdr:row>12</xdr:row>
      <xdr:rowOff>82149</xdr:rowOff>
    </xdr:to>
    <xdr:sp macro="" textlink="Info!C43">
      <xdr:nvSpPr>
        <xdr:cNvPr id="53" name="CuadroTexto 52">
          <a:extLst>
            <a:ext uri="{FF2B5EF4-FFF2-40B4-BE49-F238E27FC236}">
              <a16:creationId xmlns:a16="http://schemas.microsoft.com/office/drawing/2014/main" id="{4E2DE806-285E-4AF6-8250-4BDA3D1F3CA8}"/>
            </a:ext>
          </a:extLst>
        </xdr:cNvPr>
        <xdr:cNvSpPr txBox="1"/>
      </xdr:nvSpPr>
      <xdr:spPr>
        <a:xfrm>
          <a:off x="9631013" y="2090542"/>
          <a:ext cx="647846" cy="190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C04CD22-1D0E-43FC-A845-8923FC084150}" type="TxLink">
            <a:rPr lang="en-US" sz="800" b="0" i="0" u="none" strike="noStrike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Abril</a:t>
          </a:fld>
          <a:endParaRPr lang="es-MX" sz="800" b="0" i="0" u="none" strike="noStrike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43207</xdr:colOff>
      <xdr:row>8</xdr:row>
      <xdr:rowOff>130666</xdr:rowOff>
    </xdr:from>
    <xdr:to>
      <xdr:col>2</xdr:col>
      <xdr:colOff>508001</xdr:colOff>
      <xdr:row>24</xdr:row>
      <xdr:rowOff>79866</xdr:rowOff>
    </xdr:to>
    <xdr:sp macro="" textlink="">
      <xdr:nvSpPr>
        <xdr:cNvPr id="54" name="Rectángulo: esquinas redondeadas 53">
          <a:extLst>
            <a:ext uri="{FF2B5EF4-FFF2-40B4-BE49-F238E27FC236}">
              <a16:creationId xmlns:a16="http://schemas.microsoft.com/office/drawing/2014/main" id="{8087EB24-80F5-45B1-B692-75921F63701F}"/>
            </a:ext>
          </a:extLst>
        </xdr:cNvPr>
        <xdr:cNvSpPr/>
      </xdr:nvSpPr>
      <xdr:spPr>
        <a:xfrm>
          <a:off x="226087" y="1593706"/>
          <a:ext cx="1264894" cy="2875280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187009</xdr:colOff>
      <xdr:row>8</xdr:row>
      <xdr:rowOff>135319</xdr:rowOff>
    </xdr:from>
    <xdr:to>
      <xdr:col>10</xdr:col>
      <xdr:colOff>3623</xdr:colOff>
      <xdr:row>18</xdr:row>
      <xdr:rowOff>10232</xdr:rowOff>
    </xdr:to>
    <xdr:sp macro="" textlink="">
      <xdr:nvSpPr>
        <xdr:cNvPr id="55" name="Rectángulo: esquinas redondeadas 54">
          <a:extLst>
            <a:ext uri="{FF2B5EF4-FFF2-40B4-BE49-F238E27FC236}">
              <a16:creationId xmlns:a16="http://schemas.microsoft.com/office/drawing/2014/main" id="{2CA1E835-CECF-4DC5-8056-6636394A5104}"/>
            </a:ext>
          </a:extLst>
        </xdr:cNvPr>
        <xdr:cNvSpPr/>
      </xdr:nvSpPr>
      <xdr:spPr>
        <a:xfrm>
          <a:off x="3575025" y="1592530"/>
          <a:ext cx="3823945" cy="1696427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192388</xdr:colOff>
      <xdr:row>8</xdr:row>
      <xdr:rowOff>134124</xdr:rowOff>
    </xdr:from>
    <xdr:to>
      <xdr:col>7</xdr:col>
      <xdr:colOff>79647</xdr:colOff>
      <xdr:row>10</xdr:row>
      <xdr:rowOff>11130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2771DFAB-CC6D-4BE4-B655-FBECF8120C54}"/>
            </a:ext>
          </a:extLst>
        </xdr:cNvPr>
        <xdr:cNvSpPr txBox="1"/>
      </xdr:nvSpPr>
      <xdr:spPr>
        <a:xfrm>
          <a:off x="3580404" y="1591335"/>
          <a:ext cx="1490191" cy="241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Plan vs Real por mes 2026</a:t>
          </a:r>
        </a:p>
        <a:p>
          <a:pPr algn="l"/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  <a:p>
          <a:pPr algn="l"/>
          <a:endParaRPr lang="es-MX" sz="800" b="0">
            <a:solidFill>
              <a:srgbClr val="FF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10</xdr:col>
      <xdr:colOff>404190</xdr:colOff>
      <xdr:row>9</xdr:row>
      <xdr:rowOff>153486</xdr:rowOff>
    </xdr:from>
    <xdr:to>
      <xdr:col>10</xdr:col>
      <xdr:colOff>404190</xdr:colOff>
      <xdr:row>11</xdr:row>
      <xdr:rowOff>640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1D93DE41-AE1A-4C4F-BBC9-994A58ADD7CE}"/>
            </a:ext>
          </a:extLst>
        </xdr:cNvPr>
        <xdr:cNvCxnSpPr/>
      </xdr:nvCxnSpPr>
      <xdr:spPr>
        <a:xfrm>
          <a:off x="7782682" y="1802404"/>
          <a:ext cx="0" cy="213580"/>
        </a:xfrm>
        <a:prstGeom prst="line">
          <a:avLst/>
        </a:prstGeom>
        <a:ln w="2540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559328</xdr:colOff>
      <xdr:row>9</xdr:row>
      <xdr:rowOff>158716</xdr:rowOff>
    </xdr:from>
    <xdr:to>
      <xdr:col>13</xdr:col>
      <xdr:colOff>559328</xdr:colOff>
      <xdr:row>11</xdr:row>
      <xdr:rowOff>8069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8DE0047D-906C-4F9A-850B-5DA0B0761B96}"/>
            </a:ext>
          </a:extLst>
        </xdr:cNvPr>
        <xdr:cNvCxnSpPr/>
      </xdr:nvCxnSpPr>
      <xdr:spPr>
        <a:xfrm>
          <a:off x="9719984" y="1807634"/>
          <a:ext cx="0" cy="215779"/>
        </a:xfrm>
        <a:prstGeom prst="line">
          <a:avLst/>
        </a:prstGeom>
        <a:ln w="2540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493309</xdr:colOff>
      <xdr:row>4</xdr:row>
      <xdr:rowOff>173678</xdr:rowOff>
    </xdr:from>
    <xdr:to>
      <xdr:col>9</xdr:col>
      <xdr:colOff>379097</xdr:colOff>
      <xdr:row>6</xdr:row>
      <xdr:rowOff>174245</xdr:rowOff>
    </xdr:to>
    <xdr:sp macro="" textlink="Info!D3">
      <xdr:nvSpPr>
        <xdr:cNvPr id="60" name="CuadroTexto 59">
          <a:extLst>
            <a:ext uri="{FF2B5EF4-FFF2-40B4-BE49-F238E27FC236}">
              <a16:creationId xmlns:a16="http://schemas.microsoft.com/office/drawing/2014/main" id="{799FC3BF-91CA-4BEC-ADC6-4E14462DB569}"/>
            </a:ext>
          </a:extLst>
        </xdr:cNvPr>
        <xdr:cNvSpPr txBox="1"/>
      </xdr:nvSpPr>
      <xdr:spPr>
        <a:xfrm>
          <a:off x="6304606" y="910557"/>
          <a:ext cx="689656" cy="3690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2BB5265C-7E9F-4826-83AD-61B2AE3C8F40}" type="TxLink">
            <a:rPr lang="en-US" sz="10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69.69%</a:t>
          </a:fld>
          <a:endParaRPr lang="es-MX" sz="10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21885</xdr:colOff>
      <xdr:row>8</xdr:row>
      <xdr:rowOff>126974</xdr:rowOff>
    </xdr:from>
    <xdr:to>
      <xdr:col>2</xdr:col>
      <xdr:colOff>631735</xdr:colOff>
      <xdr:row>10</xdr:row>
      <xdr:rowOff>9029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07FCFE56-2823-410D-8F4A-DDD5DB682405}"/>
            </a:ext>
          </a:extLst>
        </xdr:cNvPr>
        <xdr:cNvSpPr txBox="1"/>
      </xdr:nvSpPr>
      <xdr:spPr>
        <a:xfrm>
          <a:off x="205684" y="1597366"/>
          <a:ext cx="1410141" cy="249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Plan vs Real por mes 2026</a:t>
          </a:r>
        </a:p>
        <a:p>
          <a:pPr algn="l"/>
          <a:endParaRPr lang="es-MX" sz="800" b="0">
            <a:solidFill>
              <a:srgbClr val="FF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</xdr:col>
      <xdr:colOff>48857</xdr:colOff>
      <xdr:row>9</xdr:row>
      <xdr:rowOff>129654</xdr:rowOff>
    </xdr:from>
    <xdr:to>
      <xdr:col>1</xdr:col>
      <xdr:colOff>485640</xdr:colOff>
      <xdr:row>10</xdr:row>
      <xdr:rowOff>148472</xdr:rowOff>
    </xdr:to>
    <xdr:sp macro="" textlink="[1]Info!A13">
      <xdr:nvSpPr>
        <xdr:cNvPr id="62" name="CuadroTexto 61">
          <a:extLst>
            <a:ext uri="{FF2B5EF4-FFF2-40B4-BE49-F238E27FC236}">
              <a16:creationId xmlns:a16="http://schemas.microsoft.com/office/drawing/2014/main" id="{67AEEE8F-2AA1-4DA7-ADC0-E7EF82397E50}"/>
            </a:ext>
          </a:extLst>
        </xdr:cNvPr>
        <xdr:cNvSpPr txBox="1"/>
      </xdr:nvSpPr>
      <xdr:spPr>
        <a:xfrm>
          <a:off x="231737" y="1775574"/>
          <a:ext cx="436783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F64F32D-A5E4-44F1-98EE-E2B181822D81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Enero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10</xdr:row>
      <xdr:rowOff>177010</xdr:rowOff>
    </xdr:from>
    <xdr:to>
      <xdr:col>1</xdr:col>
      <xdr:colOff>576936</xdr:colOff>
      <xdr:row>12</xdr:row>
      <xdr:rowOff>12948</xdr:rowOff>
    </xdr:to>
    <xdr:sp macro="" textlink="[1]Info!A14">
      <xdr:nvSpPr>
        <xdr:cNvPr id="63" name="CuadroTexto 62">
          <a:extLst>
            <a:ext uri="{FF2B5EF4-FFF2-40B4-BE49-F238E27FC236}">
              <a16:creationId xmlns:a16="http://schemas.microsoft.com/office/drawing/2014/main" id="{F67936DF-A52B-4B9C-96A2-F6E064B2B4A5}"/>
            </a:ext>
          </a:extLst>
        </xdr:cNvPr>
        <xdr:cNvSpPr txBox="1"/>
      </xdr:nvSpPr>
      <xdr:spPr>
        <a:xfrm>
          <a:off x="231737" y="2005810"/>
          <a:ext cx="528079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DBA72C8-DA7A-4AA9-B403-7B4BCD52C4C8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Febrero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12</xdr:row>
      <xdr:rowOff>37558</xdr:rowOff>
    </xdr:from>
    <xdr:to>
      <xdr:col>1</xdr:col>
      <xdr:colOff>506957</xdr:colOff>
      <xdr:row>13</xdr:row>
      <xdr:rowOff>56375</xdr:rowOff>
    </xdr:to>
    <xdr:sp macro="" textlink="[1]Info!A15">
      <xdr:nvSpPr>
        <xdr:cNvPr id="64" name="CuadroTexto 63">
          <a:extLst>
            <a:ext uri="{FF2B5EF4-FFF2-40B4-BE49-F238E27FC236}">
              <a16:creationId xmlns:a16="http://schemas.microsoft.com/office/drawing/2014/main" id="{4A67CB98-354C-4A95-8BB4-FF1FB512F33B}"/>
            </a:ext>
          </a:extLst>
        </xdr:cNvPr>
        <xdr:cNvSpPr txBox="1"/>
      </xdr:nvSpPr>
      <xdr:spPr>
        <a:xfrm>
          <a:off x="231737" y="2232118"/>
          <a:ext cx="458100" cy="20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DC92C33-87C9-4ACC-B331-6EAA0C6151BF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Marzo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15</xdr:row>
      <xdr:rowOff>167840</xdr:rowOff>
    </xdr:from>
    <xdr:to>
      <xdr:col>1</xdr:col>
      <xdr:colOff>485640</xdr:colOff>
      <xdr:row>17</xdr:row>
      <xdr:rowOff>2174</xdr:rowOff>
    </xdr:to>
    <xdr:sp macro="" textlink="[1]Info!A18">
      <xdr:nvSpPr>
        <xdr:cNvPr id="65" name="CuadroTexto 64">
          <a:extLst>
            <a:ext uri="{FF2B5EF4-FFF2-40B4-BE49-F238E27FC236}">
              <a16:creationId xmlns:a16="http://schemas.microsoft.com/office/drawing/2014/main" id="{6BB1972A-7523-4657-AB29-6CE989382716}"/>
            </a:ext>
          </a:extLst>
        </xdr:cNvPr>
        <xdr:cNvSpPr txBox="1"/>
      </xdr:nvSpPr>
      <xdr:spPr>
        <a:xfrm>
          <a:off x="231737" y="2911040"/>
          <a:ext cx="436783" cy="200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8D441A3-AF10-44B4-861F-17166DC2C8FE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Junio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18</xdr:row>
      <xdr:rowOff>70212</xdr:rowOff>
    </xdr:from>
    <xdr:to>
      <xdr:col>1</xdr:col>
      <xdr:colOff>558793</xdr:colOff>
      <xdr:row>19</xdr:row>
      <xdr:rowOff>89030</xdr:rowOff>
    </xdr:to>
    <xdr:sp macro="" textlink="[1]Info!A20">
      <xdr:nvSpPr>
        <xdr:cNvPr id="66" name="CuadroTexto 65">
          <a:extLst>
            <a:ext uri="{FF2B5EF4-FFF2-40B4-BE49-F238E27FC236}">
              <a16:creationId xmlns:a16="http://schemas.microsoft.com/office/drawing/2014/main" id="{CCCE1DAD-19DB-40C0-B76D-1661649B8EE2}"/>
            </a:ext>
          </a:extLst>
        </xdr:cNvPr>
        <xdr:cNvSpPr txBox="1"/>
      </xdr:nvSpPr>
      <xdr:spPr>
        <a:xfrm>
          <a:off x="231737" y="3362052"/>
          <a:ext cx="509936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669C948-5895-40CA-81A3-ECC921C88004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Agosto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22</xdr:row>
      <xdr:rowOff>17616</xdr:rowOff>
    </xdr:from>
    <xdr:to>
      <xdr:col>1</xdr:col>
      <xdr:colOff>717376</xdr:colOff>
      <xdr:row>23</xdr:row>
      <xdr:rowOff>36433</xdr:rowOff>
    </xdr:to>
    <xdr:sp macro="" textlink="[1]Info!A23">
      <xdr:nvSpPr>
        <xdr:cNvPr id="67" name="CuadroTexto 66">
          <a:extLst>
            <a:ext uri="{FF2B5EF4-FFF2-40B4-BE49-F238E27FC236}">
              <a16:creationId xmlns:a16="http://schemas.microsoft.com/office/drawing/2014/main" id="{6EED95E7-B325-4956-8CFF-46484F6F24B8}"/>
            </a:ext>
          </a:extLst>
        </xdr:cNvPr>
        <xdr:cNvSpPr txBox="1"/>
      </xdr:nvSpPr>
      <xdr:spPr>
        <a:xfrm>
          <a:off x="231737" y="4040976"/>
          <a:ext cx="668519" cy="20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FF1EDE8-6F3E-4215-9CDC-29A4A23CB71C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Noviembre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13</xdr:row>
      <xdr:rowOff>80985</xdr:rowOff>
    </xdr:from>
    <xdr:to>
      <xdr:col>1</xdr:col>
      <xdr:colOff>485640</xdr:colOff>
      <xdr:row>14</xdr:row>
      <xdr:rowOff>99802</xdr:rowOff>
    </xdr:to>
    <xdr:sp macro="" textlink="[1]Info!A16">
      <xdr:nvSpPr>
        <xdr:cNvPr id="68" name="CuadroTexto 67">
          <a:extLst>
            <a:ext uri="{FF2B5EF4-FFF2-40B4-BE49-F238E27FC236}">
              <a16:creationId xmlns:a16="http://schemas.microsoft.com/office/drawing/2014/main" id="{3811CF38-50CB-4B3A-AD8E-864605A55154}"/>
            </a:ext>
          </a:extLst>
        </xdr:cNvPr>
        <xdr:cNvSpPr txBox="1"/>
      </xdr:nvSpPr>
      <xdr:spPr>
        <a:xfrm>
          <a:off x="231737" y="2458425"/>
          <a:ext cx="436783" cy="20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5AD0BED-CC2E-440E-88FC-CFE3A16DC7C7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Abril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14</xdr:row>
      <xdr:rowOff>124412</xdr:rowOff>
    </xdr:from>
    <xdr:to>
      <xdr:col>1</xdr:col>
      <xdr:colOff>485640</xdr:colOff>
      <xdr:row>15</xdr:row>
      <xdr:rowOff>143230</xdr:rowOff>
    </xdr:to>
    <xdr:sp macro="" textlink="[1]Info!A17">
      <xdr:nvSpPr>
        <xdr:cNvPr id="69" name="CuadroTexto 68">
          <a:extLst>
            <a:ext uri="{FF2B5EF4-FFF2-40B4-BE49-F238E27FC236}">
              <a16:creationId xmlns:a16="http://schemas.microsoft.com/office/drawing/2014/main" id="{E67BE952-858D-4D68-93A1-6EAC51D1F855}"/>
            </a:ext>
          </a:extLst>
        </xdr:cNvPr>
        <xdr:cNvSpPr txBox="1"/>
      </xdr:nvSpPr>
      <xdr:spPr>
        <a:xfrm>
          <a:off x="231737" y="2684732"/>
          <a:ext cx="436783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784809F-0FEA-49D4-92BB-C43785ED1821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Mayo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17</xdr:row>
      <xdr:rowOff>26784</xdr:rowOff>
    </xdr:from>
    <xdr:to>
      <xdr:col>1</xdr:col>
      <xdr:colOff>485640</xdr:colOff>
      <xdr:row>18</xdr:row>
      <xdr:rowOff>45602</xdr:rowOff>
    </xdr:to>
    <xdr:sp macro="" textlink="[1]Info!A19">
      <xdr:nvSpPr>
        <xdr:cNvPr id="70" name="CuadroTexto 69">
          <a:extLst>
            <a:ext uri="{FF2B5EF4-FFF2-40B4-BE49-F238E27FC236}">
              <a16:creationId xmlns:a16="http://schemas.microsoft.com/office/drawing/2014/main" id="{CFE78263-7FCE-47C9-B796-719947D5B054}"/>
            </a:ext>
          </a:extLst>
        </xdr:cNvPr>
        <xdr:cNvSpPr txBox="1"/>
      </xdr:nvSpPr>
      <xdr:spPr>
        <a:xfrm>
          <a:off x="231737" y="3135744"/>
          <a:ext cx="436783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A745372A-BAA0-487E-8DAB-638828548B3E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Julio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19</xdr:row>
      <xdr:rowOff>113640</xdr:rowOff>
    </xdr:from>
    <xdr:to>
      <xdr:col>1</xdr:col>
      <xdr:colOff>758846</xdr:colOff>
      <xdr:row>20</xdr:row>
      <xdr:rowOff>132458</xdr:rowOff>
    </xdr:to>
    <xdr:sp macro="" textlink="[1]Info!A21">
      <xdr:nvSpPr>
        <xdr:cNvPr id="71" name="CuadroTexto 70">
          <a:extLst>
            <a:ext uri="{FF2B5EF4-FFF2-40B4-BE49-F238E27FC236}">
              <a16:creationId xmlns:a16="http://schemas.microsoft.com/office/drawing/2014/main" id="{963127F8-375B-4584-914F-5005CE1C3FBB}"/>
            </a:ext>
          </a:extLst>
        </xdr:cNvPr>
        <xdr:cNvSpPr txBox="1"/>
      </xdr:nvSpPr>
      <xdr:spPr>
        <a:xfrm>
          <a:off x="231737" y="3588360"/>
          <a:ext cx="709989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C274E10-03F0-423C-91EF-E50C7AD4F809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Septiembre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20</xdr:row>
      <xdr:rowOff>157068</xdr:rowOff>
    </xdr:from>
    <xdr:to>
      <xdr:col>1</xdr:col>
      <xdr:colOff>589895</xdr:colOff>
      <xdr:row>21</xdr:row>
      <xdr:rowOff>175886</xdr:rowOff>
    </xdr:to>
    <xdr:sp macro="" textlink="[1]Info!A22">
      <xdr:nvSpPr>
        <xdr:cNvPr id="72" name="CuadroTexto 71">
          <a:extLst>
            <a:ext uri="{FF2B5EF4-FFF2-40B4-BE49-F238E27FC236}">
              <a16:creationId xmlns:a16="http://schemas.microsoft.com/office/drawing/2014/main" id="{924F278E-835B-413A-B388-79A914747F21}"/>
            </a:ext>
          </a:extLst>
        </xdr:cNvPr>
        <xdr:cNvSpPr txBox="1"/>
      </xdr:nvSpPr>
      <xdr:spPr>
        <a:xfrm>
          <a:off x="231737" y="3814668"/>
          <a:ext cx="541038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F00B93-F384-41A7-B542-43FE788A5773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Octubre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48857</xdr:colOff>
      <xdr:row>23</xdr:row>
      <xdr:rowOff>61048</xdr:rowOff>
    </xdr:from>
    <xdr:to>
      <xdr:col>1</xdr:col>
      <xdr:colOff>688385</xdr:colOff>
      <xdr:row>24</xdr:row>
      <xdr:rowOff>79866</xdr:rowOff>
    </xdr:to>
    <xdr:sp macro="" textlink="[1]Info!A24">
      <xdr:nvSpPr>
        <xdr:cNvPr id="73" name="CuadroTexto 72">
          <a:extLst>
            <a:ext uri="{FF2B5EF4-FFF2-40B4-BE49-F238E27FC236}">
              <a16:creationId xmlns:a16="http://schemas.microsoft.com/office/drawing/2014/main" id="{0E90CCB6-0256-4DE8-95D2-533DCC17FB46}"/>
            </a:ext>
          </a:extLst>
        </xdr:cNvPr>
        <xdr:cNvSpPr txBox="1"/>
      </xdr:nvSpPr>
      <xdr:spPr>
        <a:xfrm>
          <a:off x="231737" y="4267288"/>
          <a:ext cx="639528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0147537-26A3-4166-9601-DCA09ADE75ED}" type="TxLink">
            <a:rPr lang="en-US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Diciembre</a:t>
          </a:fld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450068</xdr:colOff>
      <xdr:row>9</xdr:row>
      <xdr:rowOff>147733</xdr:rowOff>
    </xdr:from>
    <xdr:to>
      <xdr:col>2</xdr:col>
      <xdr:colOff>547963</xdr:colOff>
      <xdr:row>10</xdr:row>
      <xdr:rowOff>160694</xdr:rowOff>
    </xdr:to>
    <xdr:sp macro="" textlink="Info!C29">
      <xdr:nvSpPr>
        <xdr:cNvPr id="74" name="CuadroTexto 73">
          <a:extLst>
            <a:ext uri="{FF2B5EF4-FFF2-40B4-BE49-F238E27FC236}">
              <a16:creationId xmlns:a16="http://schemas.microsoft.com/office/drawing/2014/main" id="{C83FE5B9-0189-4D8E-8FDA-198D14564B2A}"/>
            </a:ext>
          </a:extLst>
        </xdr:cNvPr>
        <xdr:cNvSpPr txBox="1"/>
      </xdr:nvSpPr>
      <xdr:spPr>
        <a:xfrm>
          <a:off x="632770" y="1792049"/>
          <a:ext cx="900000" cy="195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67D4EE28-D9AF-4EE6-A960-F13551B4BB1F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-$701,153.90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505917</xdr:colOff>
      <xdr:row>10</xdr:row>
      <xdr:rowOff>181184</xdr:rowOff>
    </xdr:from>
    <xdr:to>
      <xdr:col>2</xdr:col>
      <xdr:colOff>588855</xdr:colOff>
      <xdr:row>12</xdr:row>
      <xdr:rowOff>17122</xdr:rowOff>
    </xdr:to>
    <xdr:sp macro="" textlink="Info!C30">
      <xdr:nvSpPr>
        <xdr:cNvPr id="75" name="CuadroTexto 74">
          <a:extLst>
            <a:ext uri="{FF2B5EF4-FFF2-40B4-BE49-F238E27FC236}">
              <a16:creationId xmlns:a16="http://schemas.microsoft.com/office/drawing/2014/main" id="{6D34A135-6955-4DA1-9D12-109251EC378D}"/>
            </a:ext>
          </a:extLst>
        </xdr:cNvPr>
        <xdr:cNvSpPr txBox="1"/>
      </xdr:nvSpPr>
      <xdr:spPr>
        <a:xfrm>
          <a:off x="688797" y="2009984"/>
          <a:ext cx="883038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C2C0E6AA-95B8-4081-B64E-686107468697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-$586,656.04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498525</xdr:colOff>
      <xdr:row>12</xdr:row>
      <xdr:rowOff>41732</xdr:rowOff>
    </xdr:from>
    <xdr:to>
      <xdr:col>2</xdr:col>
      <xdr:colOff>581464</xdr:colOff>
      <xdr:row>13</xdr:row>
      <xdr:rowOff>60549</xdr:rowOff>
    </xdr:to>
    <xdr:sp macro="" textlink="Info!C31">
      <xdr:nvSpPr>
        <xdr:cNvPr id="76" name="CuadroTexto 75">
          <a:extLst>
            <a:ext uri="{FF2B5EF4-FFF2-40B4-BE49-F238E27FC236}">
              <a16:creationId xmlns:a16="http://schemas.microsoft.com/office/drawing/2014/main" id="{CF5A1EE1-3A49-457D-8C1E-A748C43DD7C4}"/>
            </a:ext>
          </a:extLst>
        </xdr:cNvPr>
        <xdr:cNvSpPr txBox="1"/>
      </xdr:nvSpPr>
      <xdr:spPr>
        <a:xfrm>
          <a:off x="681405" y="2236292"/>
          <a:ext cx="883039" cy="20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7B7B8F10-90B1-4E1E-8F90-86D5DC847B1E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-$641,421.70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544286</xdr:colOff>
      <xdr:row>16</xdr:row>
      <xdr:rowOff>25121</xdr:rowOff>
    </xdr:from>
    <xdr:to>
      <xdr:col>2</xdr:col>
      <xdr:colOff>573930</xdr:colOff>
      <xdr:row>17</xdr:row>
      <xdr:rowOff>6348</xdr:rowOff>
    </xdr:to>
    <xdr:sp macro="" textlink="Info!C34">
      <xdr:nvSpPr>
        <xdr:cNvPr id="77" name="CuadroTexto 76">
          <a:extLst>
            <a:ext uri="{FF2B5EF4-FFF2-40B4-BE49-F238E27FC236}">
              <a16:creationId xmlns:a16="http://schemas.microsoft.com/office/drawing/2014/main" id="{D9C5712A-376D-4352-87DB-1DED48EF0D7A}"/>
            </a:ext>
          </a:extLst>
        </xdr:cNvPr>
        <xdr:cNvSpPr txBox="1"/>
      </xdr:nvSpPr>
      <xdr:spPr>
        <a:xfrm>
          <a:off x="728506" y="2972637"/>
          <a:ext cx="833512" cy="165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17518B1D-2322-4786-BEDA-E266C8032D53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454463</xdr:colOff>
      <xdr:row>18</xdr:row>
      <xdr:rowOff>74386</xdr:rowOff>
    </xdr:from>
    <xdr:to>
      <xdr:col>2</xdr:col>
      <xdr:colOff>574409</xdr:colOff>
      <xdr:row>19</xdr:row>
      <xdr:rowOff>93204</xdr:rowOff>
    </xdr:to>
    <xdr:sp macro="" textlink="Info!C36">
      <xdr:nvSpPr>
        <xdr:cNvPr id="78" name="CuadroTexto 77">
          <a:extLst>
            <a:ext uri="{FF2B5EF4-FFF2-40B4-BE49-F238E27FC236}">
              <a16:creationId xmlns:a16="http://schemas.microsoft.com/office/drawing/2014/main" id="{2BAC2C10-5288-438A-AE74-888054F48463}"/>
            </a:ext>
          </a:extLst>
        </xdr:cNvPr>
        <xdr:cNvSpPr txBox="1"/>
      </xdr:nvSpPr>
      <xdr:spPr>
        <a:xfrm>
          <a:off x="637343" y="3366226"/>
          <a:ext cx="920046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58DF837A-C905-4DCA-B05E-8E9191DA34CA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498036</xdr:colOff>
      <xdr:row>22</xdr:row>
      <xdr:rowOff>21790</xdr:rowOff>
    </xdr:from>
    <xdr:to>
      <xdr:col>2</xdr:col>
      <xdr:colOff>581697</xdr:colOff>
      <xdr:row>23</xdr:row>
      <xdr:rowOff>40607</xdr:rowOff>
    </xdr:to>
    <xdr:sp macro="" textlink="Info!C39">
      <xdr:nvSpPr>
        <xdr:cNvPr id="79" name="CuadroTexto 78">
          <a:extLst>
            <a:ext uri="{FF2B5EF4-FFF2-40B4-BE49-F238E27FC236}">
              <a16:creationId xmlns:a16="http://schemas.microsoft.com/office/drawing/2014/main" id="{08B177E3-BF99-48B1-90E1-371B97623BB5}"/>
            </a:ext>
          </a:extLst>
        </xdr:cNvPr>
        <xdr:cNvSpPr txBox="1"/>
      </xdr:nvSpPr>
      <xdr:spPr>
        <a:xfrm>
          <a:off x="680916" y="4045150"/>
          <a:ext cx="883761" cy="20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7B4453DE-6ABA-474D-808D-219AB86CAEA0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490437</xdr:colOff>
      <xdr:row>13</xdr:row>
      <xdr:rowOff>85159</xdr:rowOff>
    </xdr:from>
    <xdr:to>
      <xdr:col>2</xdr:col>
      <xdr:colOff>581151</xdr:colOff>
      <xdr:row>14</xdr:row>
      <xdr:rowOff>103976</xdr:rowOff>
    </xdr:to>
    <xdr:sp macro="" textlink="Info!C32">
      <xdr:nvSpPr>
        <xdr:cNvPr id="80" name="CuadroTexto 79">
          <a:extLst>
            <a:ext uri="{FF2B5EF4-FFF2-40B4-BE49-F238E27FC236}">
              <a16:creationId xmlns:a16="http://schemas.microsoft.com/office/drawing/2014/main" id="{41CC287B-40F6-4714-8961-261AB45474A7}"/>
            </a:ext>
          </a:extLst>
        </xdr:cNvPr>
        <xdr:cNvSpPr txBox="1"/>
      </xdr:nvSpPr>
      <xdr:spPr>
        <a:xfrm>
          <a:off x="673317" y="2462599"/>
          <a:ext cx="890814" cy="20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334D08C5-761B-4156-96A6-B17A36F8ADC7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586090</xdr:colOff>
      <xdr:row>14</xdr:row>
      <xdr:rowOff>128586</xdr:rowOff>
    </xdr:from>
    <xdr:to>
      <xdr:col>2</xdr:col>
      <xdr:colOff>584221</xdr:colOff>
      <xdr:row>15</xdr:row>
      <xdr:rowOff>147404</xdr:rowOff>
    </xdr:to>
    <xdr:sp macro="" textlink="Info!C33">
      <xdr:nvSpPr>
        <xdr:cNvPr id="81" name="CuadroTexto 80">
          <a:extLst>
            <a:ext uri="{FF2B5EF4-FFF2-40B4-BE49-F238E27FC236}">
              <a16:creationId xmlns:a16="http://schemas.microsoft.com/office/drawing/2014/main" id="{06C50016-7EB7-47C2-9649-A62FAF44FE33}"/>
            </a:ext>
          </a:extLst>
        </xdr:cNvPr>
        <xdr:cNvSpPr txBox="1"/>
      </xdr:nvSpPr>
      <xdr:spPr>
        <a:xfrm>
          <a:off x="768970" y="2688906"/>
          <a:ext cx="798231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CE71D707-D4C4-4376-A48F-C7396D0C5820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580837</xdr:colOff>
      <xdr:row>17</xdr:row>
      <xdr:rowOff>30958</xdr:rowOff>
    </xdr:from>
    <xdr:to>
      <xdr:col>2</xdr:col>
      <xdr:colOff>597110</xdr:colOff>
      <xdr:row>18</xdr:row>
      <xdr:rowOff>49776</xdr:rowOff>
    </xdr:to>
    <xdr:sp macro="" textlink="Info!C35">
      <xdr:nvSpPr>
        <xdr:cNvPr id="82" name="CuadroTexto 81">
          <a:extLst>
            <a:ext uri="{FF2B5EF4-FFF2-40B4-BE49-F238E27FC236}">
              <a16:creationId xmlns:a16="http://schemas.microsoft.com/office/drawing/2014/main" id="{62AE0AE4-55C9-41F6-A90C-70A4670BAFEB}"/>
            </a:ext>
          </a:extLst>
        </xdr:cNvPr>
        <xdr:cNvSpPr txBox="1"/>
      </xdr:nvSpPr>
      <xdr:spPr>
        <a:xfrm>
          <a:off x="763717" y="3139918"/>
          <a:ext cx="816373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B8F4622D-5482-4553-983A-EBE898B0DF09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511484</xdr:colOff>
      <xdr:row>19</xdr:row>
      <xdr:rowOff>125589</xdr:rowOff>
    </xdr:from>
    <xdr:to>
      <xdr:col>2</xdr:col>
      <xdr:colOff>600328</xdr:colOff>
      <xdr:row>20</xdr:row>
      <xdr:rowOff>144407</xdr:rowOff>
    </xdr:to>
    <xdr:sp macro="" textlink="Info!C37">
      <xdr:nvSpPr>
        <xdr:cNvPr id="83" name="CuadroTexto 82">
          <a:extLst>
            <a:ext uri="{FF2B5EF4-FFF2-40B4-BE49-F238E27FC236}">
              <a16:creationId xmlns:a16="http://schemas.microsoft.com/office/drawing/2014/main" id="{6D7AEBE3-7FC8-4F4C-AF27-7ED68E00AB54}"/>
            </a:ext>
          </a:extLst>
        </xdr:cNvPr>
        <xdr:cNvSpPr txBox="1"/>
      </xdr:nvSpPr>
      <xdr:spPr>
        <a:xfrm>
          <a:off x="694364" y="3600309"/>
          <a:ext cx="888944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69F2123F-C8DE-46CA-8926-AFC9245593A5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570957</xdr:colOff>
      <xdr:row>20</xdr:row>
      <xdr:rowOff>161242</xdr:rowOff>
    </xdr:from>
    <xdr:to>
      <xdr:col>2</xdr:col>
      <xdr:colOff>587230</xdr:colOff>
      <xdr:row>21</xdr:row>
      <xdr:rowOff>180060</xdr:rowOff>
    </xdr:to>
    <xdr:sp macro="" textlink="Info!C38">
      <xdr:nvSpPr>
        <xdr:cNvPr id="84" name="CuadroTexto 83">
          <a:extLst>
            <a:ext uri="{FF2B5EF4-FFF2-40B4-BE49-F238E27FC236}">
              <a16:creationId xmlns:a16="http://schemas.microsoft.com/office/drawing/2014/main" id="{FBBABC73-36E5-4EA0-975B-3F97B51AE0A9}"/>
            </a:ext>
          </a:extLst>
        </xdr:cNvPr>
        <xdr:cNvSpPr txBox="1"/>
      </xdr:nvSpPr>
      <xdr:spPr>
        <a:xfrm>
          <a:off x="753837" y="3818842"/>
          <a:ext cx="816373" cy="20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FFB602E8-BDBA-4E04-AD08-140267181763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500559</xdr:colOff>
      <xdr:row>23</xdr:row>
      <xdr:rowOff>65222</xdr:rowOff>
    </xdr:from>
    <xdr:to>
      <xdr:col>2</xdr:col>
      <xdr:colOff>589403</xdr:colOff>
      <xdr:row>24</xdr:row>
      <xdr:rowOff>84040</xdr:rowOff>
    </xdr:to>
    <xdr:sp macro="" textlink="Info!C40">
      <xdr:nvSpPr>
        <xdr:cNvPr id="85" name="CuadroTexto 84">
          <a:extLst>
            <a:ext uri="{FF2B5EF4-FFF2-40B4-BE49-F238E27FC236}">
              <a16:creationId xmlns:a16="http://schemas.microsoft.com/office/drawing/2014/main" id="{6092585A-0DE0-495E-ACD7-CA79536B4AAE}"/>
            </a:ext>
          </a:extLst>
        </xdr:cNvPr>
        <xdr:cNvSpPr txBox="1"/>
      </xdr:nvSpPr>
      <xdr:spPr>
        <a:xfrm>
          <a:off x="683261" y="4267362"/>
          <a:ext cx="890949" cy="20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9A0A0A38-FEC0-491B-B557-4E98C9B01677}" type="TxLink">
            <a:rPr lang="en-US" sz="8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r"/>
            <a:t> $-   </a:t>
          </a:fld>
          <a:endParaRPr lang="es-MX" sz="8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519459</xdr:colOff>
      <xdr:row>15</xdr:row>
      <xdr:rowOff>34490</xdr:rowOff>
    </xdr:from>
    <xdr:to>
      <xdr:col>15</xdr:col>
      <xdr:colOff>573459</xdr:colOff>
      <xdr:row>15</xdr:row>
      <xdr:rowOff>122313</xdr:rowOff>
    </xdr:to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C2961B2B-C155-4629-9766-F57C36D39960}"/>
            </a:ext>
          </a:extLst>
        </xdr:cNvPr>
        <xdr:cNvSpPr/>
      </xdr:nvSpPr>
      <xdr:spPr>
        <a:xfrm>
          <a:off x="11245754" y="2782687"/>
          <a:ext cx="54000" cy="8782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152968</xdr:colOff>
      <xdr:row>15</xdr:row>
      <xdr:rowOff>18895</xdr:rowOff>
    </xdr:from>
    <xdr:to>
      <xdr:col>12</xdr:col>
      <xdr:colOff>41877</xdr:colOff>
      <xdr:row>16</xdr:row>
      <xdr:rowOff>19234</xdr:rowOff>
    </xdr:to>
    <xdr:sp macro="" textlink="">
      <xdr:nvSpPr>
        <xdr:cNvPr id="88" name="CuadroTexto 55">
          <a:extLst>
            <a:ext uri="{FF2B5EF4-FFF2-40B4-BE49-F238E27FC236}">
              <a16:creationId xmlns:a16="http://schemas.microsoft.com/office/drawing/2014/main" id="{70F1487A-1EC7-44C7-B0AF-084F07AA3B0B}"/>
            </a:ext>
          </a:extLst>
        </xdr:cNvPr>
        <xdr:cNvSpPr txBox="1"/>
      </xdr:nvSpPr>
      <xdr:spPr>
        <a:xfrm>
          <a:off x="7531460" y="2767092"/>
          <a:ext cx="1487860" cy="183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Real 2025 vs Real 2026 </a:t>
          </a:r>
        </a:p>
        <a:p>
          <a:pPr algn="l"/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  <a:p>
          <a:pPr algn="l"/>
          <a:endParaRPr lang="es-MX" sz="800" b="0">
            <a:solidFill>
              <a:srgbClr val="FF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15</xdr:col>
      <xdr:colOff>168756</xdr:colOff>
      <xdr:row>14</xdr:row>
      <xdr:rowOff>172333</xdr:rowOff>
    </xdr:from>
    <xdr:to>
      <xdr:col>15</xdr:col>
      <xdr:colOff>534623</xdr:colOff>
      <xdr:row>15</xdr:row>
      <xdr:rowOff>122209</xdr:rowOff>
    </xdr:to>
    <xdr:sp macro="" textlink="">
      <xdr:nvSpPr>
        <xdr:cNvPr id="89" name="CuadroTexto 55">
          <a:extLst>
            <a:ext uri="{FF2B5EF4-FFF2-40B4-BE49-F238E27FC236}">
              <a16:creationId xmlns:a16="http://schemas.microsoft.com/office/drawing/2014/main" id="{617E2392-3840-4146-876B-D6830F57EDC5}"/>
            </a:ext>
          </a:extLst>
        </xdr:cNvPr>
        <xdr:cNvSpPr txBox="1"/>
      </xdr:nvSpPr>
      <xdr:spPr>
        <a:xfrm>
          <a:off x="10895051" y="2737317"/>
          <a:ext cx="365867" cy="133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MX" sz="6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2026</a:t>
          </a:r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15</xdr:col>
      <xdr:colOff>168400</xdr:colOff>
      <xdr:row>15</xdr:row>
      <xdr:rowOff>153523</xdr:rowOff>
    </xdr:from>
    <xdr:to>
      <xdr:col>15</xdr:col>
      <xdr:colOff>537233</xdr:colOff>
      <xdr:row>16</xdr:row>
      <xdr:rowOff>114378</xdr:rowOff>
    </xdr:to>
    <xdr:sp macro="" textlink="">
      <xdr:nvSpPr>
        <xdr:cNvPr id="90" name="CuadroTexto 55">
          <a:extLst>
            <a:ext uri="{FF2B5EF4-FFF2-40B4-BE49-F238E27FC236}">
              <a16:creationId xmlns:a16="http://schemas.microsoft.com/office/drawing/2014/main" id="{379C80B0-7B33-414E-B0CC-D4AA3CFD96DF}"/>
            </a:ext>
          </a:extLst>
        </xdr:cNvPr>
        <xdr:cNvSpPr txBox="1"/>
      </xdr:nvSpPr>
      <xdr:spPr>
        <a:xfrm>
          <a:off x="10894695" y="2901720"/>
          <a:ext cx="368833" cy="144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MX" sz="6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2025</a:t>
          </a:r>
          <a:endParaRPr lang="es-MX" sz="8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5</xdr:col>
      <xdr:colOff>191928</xdr:colOff>
      <xdr:row>9</xdr:row>
      <xdr:rowOff>145623</xdr:rowOff>
    </xdr:from>
    <xdr:to>
      <xdr:col>9</xdr:col>
      <xdr:colOff>777868</xdr:colOff>
      <xdr:row>17</xdr:row>
      <xdr:rowOff>168865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2F2B6F0-1942-467E-B824-44C52089E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158751</xdr:colOff>
      <xdr:row>16</xdr:row>
      <xdr:rowOff>56885</xdr:rowOff>
    </xdr:from>
    <xdr:to>
      <xdr:col>15</xdr:col>
      <xdr:colOff>649371</xdr:colOff>
      <xdr:row>24</xdr:row>
      <xdr:rowOff>72803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BFE84E8-0FC2-4DDA-B06F-1CFB84A94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527168</xdr:colOff>
      <xdr:row>16</xdr:row>
      <xdr:rowOff>14434</xdr:rowOff>
    </xdr:from>
    <xdr:to>
      <xdr:col>15</xdr:col>
      <xdr:colOff>580618</xdr:colOff>
      <xdr:row>16</xdr:row>
      <xdr:rowOff>100834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94EEFEAB-C270-4783-9B9F-2C9141D87323}"/>
            </a:ext>
          </a:extLst>
        </xdr:cNvPr>
        <xdr:cNvSpPr/>
      </xdr:nvSpPr>
      <xdr:spPr>
        <a:xfrm>
          <a:off x="11253463" y="2945844"/>
          <a:ext cx="53450" cy="86400"/>
        </a:xfrm>
        <a:prstGeom prst="rect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10</xdr:col>
      <xdr:colOff>203727</xdr:colOff>
      <xdr:row>0</xdr:row>
      <xdr:rowOff>98285</xdr:rowOff>
    </xdr:from>
    <xdr:to>
      <xdr:col>13</xdr:col>
      <xdr:colOff>254527</xdr:colOff>
      <xdr:row>6</xdr:row>
      <xdr:rowOff>112059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Unidad Organizativa">
              <a:extLst>
                <a:ext uri="{FF2B5EF4-FFF2-40B4-BE49-F238E27FC236}">
                  <a16:creationId xmlns:a16="http://schemas.microsoft.com/office/drawing/2014/main" id="{FB6F329B-67C9-42C6-9B95-3773F0CDB1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 Organizativ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8777" y="98285"/>
              <a:ext cx="1835150" cy="1118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605117</xdr:colOff>
      <xdr:row>1</xdr:row>
      <xdr:rowOff>3109</xdr:rowOff>
    </xdr:from>
    <xdr:to>
      <xdr:col>15</xdr:col>
      <xdr:colOff>129469</xdr:colOff>
      <xdr:row>8</xdr:row>
      <xdr:rowOff>97118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es 1">
              <a:extLst>
                <a:ext uri="{FF2B5EF4-FFF2-40B4-BE49-F238E27FC236}">
                  <a16:creationId xmlns:a16="http://schemas.microsoft.com/office/drawing/2014/main" id="{F061A89A-D796-4D68-9033-39B7911E8B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4517" y="187259"/>
              <a:ext cx="1099152" cy="13830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283276</xdr:colOff>
      <xdr:row>0</xdr:row>
      <xdr:rowOff>87204</xdr:rowOff>
    </xdr:from>
    <xdr:to>
      <xdr:col>11</xdr:col>
      <xdr:colOff>701958</xdr:colOff>
      <xdr:row>1</xdr:row>
      <xdr:rowOff>115132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4789D842-9D0A-42BC-99BE-D25307DD6E30}"/>
            </a:ext>
          </a:extLst>
        </xdr:cNvPr>
        <xdr:cNvSpPr txBox="1"/>
      </xdr:nvSpPr>
      <xdr:spPr>
        <a:xfrm>
          <a:off x="7667056" y="87204"/>
          <a:ext cx="1218782" cy="210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rgbClr val="FF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●</a:t>
          </a:r>
          <a:r>
            <a:rPr lang="es-MX" sz="800" b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Unidad Organizativa</a:t>
          </a:r>
        </a:p>
        <a:p>
          <a:pPr algn="l"/>
          <a:endParaRPr lang="es-MX" sz="800" b="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13</xdr:col>
      <xdr:colOff>644531</xdr:colOff>
      <xdr:row>1</xdr:row>
      <xdr:rowOff>55417</xdr:rowOff>
    </xdr:from>
    <xdr:to>
      <xdr:col>14</xdr:col>
      <xdr:colOff>360219</xdr:colOff>
      <xdr:row>2</xdr:row>
      <xdr:rowOff>74249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2EA58109-0CDB-4091-AF5E-49C8108F7AC7}"/>
            </a:ext>
          </a:extLst>
        </xdr:cNvPr>
        <xdr:cNvSpPr txBox="1"/>
      </xdr:nvSpPr>
      <xdr:spPr>
        <a:xfrm>
          <a:off x="9843949" y="235526"/>
          <a:ext cx="498470" cy="19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800" b="0">
              <a:solidFill>
                <a:srgbClr val="FF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●</a:t>
          </a:r>
          <a:r>
            <a:rPr lang="es-MX" sz="8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Mes</a:t>
          </a:r>
        </a:p>
        <a:p>
          <a:pPr algn="l"/>
          <a:endParaRPr lang="es-MX" sz="800" b="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porres-my.sharepoint.com/personal/jmunoz_gporres_com_mx/Documents/Agricolas/DashBoards/DashBoards%20Guia/Dash%20Board%20Nominas.xlsx" TargetMode="External"/><Relationship Id="rId1" Type="http://schemas.openxmlformats.org/officeDocument/2006/relationships/externalLinkPath" Target="https://grupoporres-my.sharepoint.com/personal/jmunoz_gporres_com_mx/Documents/Agricolas/DashBoards/DashBoards%20Guia/Dash%20Board%20Nomin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FF0jwOKhE-zYHIIBrnEFIh1N7WInYNEq_v4Rygw70IPz6Sz0fDRTqWxd8Dsv_KY" itemId="01NHNWZ6ZLMYQM2W5HCJD2ERGFSNGPWTCP">
      <xxl21:absoluteUrl r:id="rId2"/>
    </xxl21:alternateUrls>
    <sheetNames>
      <sheetName val="Nomina"/>
      <sheetName val="Analisis N"/>
      <sheetName val="Info"/>
      <sheetName val="DashBoard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ús Ángel Muñoz Cuahua" refreshedDate="46176.373282175926" createdVersion="8" refreshedVersion="8" minRefreshableVersion="3" recordCount="108" xr:uid="{9B4EA4BC-2EBA-4EB9-81D6-DA3B39298C23}">
  <cacheSource type="worksheet">
    <worksheetSource name="Presupuesto_Anual"/>
  </cacheSource>
  <cacheFields count="5">
    <cacheField name="Unidad Organizativa" numFmtId="0">
      <sharedItems count="3">
        <s v="Cañaverales Mexicanos"/>
        <s v="Excelencia Zona Chiapas"/>
        <s v="Excelencia Zona Veracruz"/>
      </sharedItems>
    </cacheField>
    <cacheField name="Año" numFmtId="0">
      <sharedItems containsSemiMixedTypes="0" containsString="0" containsNumber="1" containsInteger="1" minValue="2025" maxValue="2026" count="2">
        <n v="2025"/>
        <n v="2026"/>
      </sharedItems>
    </cacheField>
    <cacheField name="Escenario" numFmtId="0">
      <sharedItems count="2">
        <s v="Real"/>
        <s v="Plan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Monto" numFmtId="0">
      <sharedItems containsString="0" containsBlank="1" containsNumber="1" minValue="922559.33000000007" maxValue="5905925"/>
    </cacheField>
  </cacheFields>
  <extLst>
    <ext xmlns:x14="http://schemas.microsoft.com/office/spreadsheetml/2009/9/main" uri="{725AE2AE-9491-48be-B2B4-4EB974FC3084}">
      <x14:pivotCacheDefinition pivotCacheId="7859154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x v="0"/>
    <n v="3607199.8400000008"/>
  </r>
  <r>
    <x v="0"/>
    <x v="1"/>
    <x v="1"/>
    <x v="0"/>
    <n v="5905925"/>
  </r>
  <r>
    <x v="0"/>
    <x v="1"/>
    <x v="0"/>
    <x v="0"/>
    <n v="4160218.03"/>
  </r>
  <r>
    <x v="0"/>
    <x v="0"/>
    <x v="0"/>
    <x v="1"/>
    <n v="3357703.040000001"/>
  </r>
  <r>
    <x v="0"/>
    <x v="1"/>
    <x v="1"/>
    <x v="1"/>
    <n v="5370722"/>
  </r>
  <r>
    <x v="0"/>
    <x v="1"/>
    <x v="0"/>
    <x v="1"/>
    <n v="4577412.2299999995"/>
  </r>
  <r>
    <x v="0"/>
    <x v="0"/>
    <x v="0"/>
    <x v="2"/>
    <n v="3763070.3200000026"/>
  </r>
  <r>
    <x v="0"/>
    <x v="1"/>
    <x v="1"/>
    <x v="2"/>
    <n v="5789408"/>
  </r>
  <r>
    <x v="0"/>
    <x v="1"/>
    <x v="0"/>
    <x v="2"/>
    <n v="4769875.7699999996"/>
  </r>
  <r>
    <x v="0"/>
    <x v="0"/>
    <x v="0"/>
    <x v="3"/>
    <n v="3980928.49"/>
  </r>
  <r>
    <x v="0"/>
    <x v="1"/>
    <x v="1"/>
    <x v="3"/>
    <n v="5596513"/>
  </r>
  <r>
    <x v="0"/>
    <x v="1"/>
    <x v="0"/>
    <x v="3"/>
    <m/>
  </r>
  <r>
    <x v="0"/>
    <x v="0"/>
    <x v="0"/>
    <x v="4"/>
    <n v="4523879.5600000033"/>
  </r>
  <r>
    <x v="0"/>
    <x v="1"/>
    <x v="1"/>
    <x v="4"/>
    <n v="3798934"/>
  </r>
  <r>
    <x v="0"/>
    <x v="1"/>
    <x v="0"/>
    <x v="4"/>
    <m/>
  </r>
  <r>
    <x v="0"/>
    <x v="0"/>
    <x v="0"/>
    <x v="5"/>
    <n v="2745004.4"/>
  </r>
  <r>
    <x v="0"/>
    <x v="1"/>
    <x v="1"/>
    <x v="5"/>
    <n v="3159916"/>
  </r>
  <r>
    <x v="0"/>
    <x v="1"/>
    <x v="0"/>
    <x v="5"/>
    <m/>
  </r>
  <r>
    <x v="0"/>
    <x v="0"/>
    <x v="0"/>
    <x v="6"/>
    <n v="2940006.98"/>
  </r>
  <r>
    <x v="0"/>
    <x v="1"/>
    <x v="1"/>
    <x v="6"/>
    <n v="2945542"/>
  </r>
  <r>
    <x v="0"/>
    <x v="1"/>
    <x v="0"/>
    <x v="6"/>
    <m/>
  </r>
  <r>
    <x v="0"/>
    <x v="0"/>
    <x v="0"/>
    <x v="7"/>
    <n v="2594544.94"/>
  </r>
  <r>
    <x v="0"/>
    <x v="1"/>
    <x v="1"/>
    <x v="7"/>
    <n v="2905775"/>
  </r>
  <r>
    <x v="0"/>
    <x v="1"/>
    <x v="0"/>
    <x v="7"/>
    <m/>
  </r>
  <r>
    <x v="0"/>
    <x v="0"/>
    <x v="0"/>
    <x v="8"/>
    <n v="2645532.5800000005"/>
  </r>
  <r>
    <x v="0"/>
    <x v="1"/>
    <x v="1"/>
    <x v="8"/>
    <n v="2776535"/>
  </r>
  <r>
    <x v="0"/>
    <x v="1"/>
    <x v="0"/>
    <x v="8"/>
    <m/>
  </r>
  <r>
    <x v="0"/>
    <x v="0"/>
    <x v="0"/>
    <x v="9"/>
    <n v="3195507.21"/>
  </r>
  <r>
    <x v="0"/>
    <x v="1"/>
    <x v="1"/>
    <x v="9"/>
    <n v="2808591"/>
  </r>
  <r>
    <x v="0"/>
    <x v="1"/>
    <x v="0"/>
    <x v="9"/>
    <m/>
  </r>
  <r>
    <x v="0"/>
    <x v="0"/>
    <x v="0"/>
    <x v="10"/>
    <n v="2578258.59"/>
  </r>
  <r>
    <x v="0"/>
    <x v="1"/>
    <x v="1"/>
    <x v="10"/>
    <n v="3007678"/>
  </r>
  <r>
    <x v="0"/>
    <x v="1"/>
    <x v="0"/>
    <x v="10"/>
    <m/>
  </r>
  <r>
    <x v="0"/>
    <x v="0"/>
    <x v="0"/>
    <x v="11"/>
    <n v="2583031.1499999994"/>
  </r>
  <r>
    <x v="0"/>
    <x v="1"/>
    <x v="1"/>
    <x v="11"/>
    <n v="5781158"/>
  </r>
  <r>
    <x v="0"/>
    <x v="1"/>
    <x v="0"/>
    <x v="11"/>
    <m/>
  </r>
  <r>
    <x v="1"/>
    <x v="1"/>
    <x v="1"/>
    <x v="0"/>
    <n v="5858754.71"/>
  </r>
  <r>
    <x v="1"/>
    <x v="1"/>
    <x v="0"/>
    <x v="0"/>
    <n v="4023683.5199999996"/>
  </r>
  <r>
    <x v="1"/>
    <x v="0"/>
    <x v="0"/>
    <x v="0"/>
    <n v="4710916.4000000004"/>
  </r>
  <r>
    <x v="1"/>
    <x v="1"/>
    <x v="1"/>
    <x v="1"/>
    <n v="5255286.76"/>
  </r>
  <r>
    <x v="1"/>
    <x v="1"/>
    <x v="0"/>
    <x v="1"/>
    <n v="4002246.8400000008"/>
  </r>
  <r>
    <x v="1"/>
    <x v="0"/>
    <x v="0"/>
    <x v="1"/>
    <n v="4046755.330000001"/>
  </r>
  <r>
    <x v="1"/>
    <x v="1"/>
    <x v="1"/>
    <x v="2"/>
    <n v="5858754.71"/>
  </r>
  <r>
    <x v="1"/>
    <x v="1"/>
    <x v="0"/>
    <x v="2"/>
    <m/>
  </r>
  <r>
    <x v="1"/>
    <x v="0"/>
    <x v="0"/>
    <x v="2"/>
    <n v="4235969.4800000014"/>
  </r>
  <r>
    <x v="1"/>
    <x v="1"/>
    <x v="1"/>
    <x v="3"/>
    <n v="5640947.4699999997"/>
  </r>
  <r>
    <x v="1"/>
    <x v="1"/>
    <x v="0"/>
    <x v="3"/>
    <m/>
  </r>
  <r>
    <x v="1"/>
    <x v="0"/>
    <x v="0"/>
    <x v="3"/>
    <n v="4335717.870000001"/>
  </r>
  <r>
    <x v="1"/>
    <x v="1"/>
    <x v="1"/>
    <x v="4"/>
    <n v="5516001.29"/>
  </r>
  <r>
    <x v="1"/>
    <x v="1"/>
    <x v="0"/>
    <x v="4"/>
    <m/>
  </r>
  <r>
    <x v="1"/>
    <x v="0"/>
    <x v="0"/>
    <x v="4"/>
    <n v="4757158.2000000011"/>
  </r>
  <r>
    <x v="1"/>
    <x v="1"/>
    <x v="1"/>
    <x v="5"/>
    <n v="3406275.79"/>
  </r>
  <r>
    <x v="1"/>
    <x v="1"/>
    <x v="0"/>
    <x v="5"/>
    <m/>
  </r>
  <r>
    <x v="1"/>
    <x v="0"/>
    <x v="0"/>
    <x v="5"/>
    <n v="3334201.9600000004"/>
  </r>
  <r>
    <x v="1"/>
    <x v="1"/>
    <x v="1"/>
    <x v="6"/>
    <n v="3702097.11"/>
  </r>
  <r>
    <x v="1"/>
    <x v="1"/>
    <x v="0"/>
    <x v="6"/>
    <m/>
  </r>
  <r>
    <x v="1"/>
    <x v="0"/>
    <x v="0"/>
    <x v="6"/>
    <n v="3807857.5800000033"/>
  </r>
  <r>
    <x v="1"/>
    <x v="1"/>
    <x v="1"/>
    <x v="7"/>
    <n v="3302285.87"/>
  </r>
  <r>
    <x v="1"/>
    <x v="1"/>
    <x v="0"/>
    <x v="7"/>
    <m/>
  </r>
  <r>
    <x v="1"/>
    <x v="0"/>
    <x v="0"/>
    <x v="7"/>
    <n v="2966909.9999999991"/>
  </r>
  <r>
    <x v="1"/>
    <x v="1"/>
    <x v="1"/>
    <x v="8"/>
    <n v="3064235.98"/>
  </r>
  <r>
    <x v="1"/>
    <x v="1"/>
    <x v="0"/>
    <x v="8"/>
    <m/>
  </r>
  <r>
    <x v="1"/>
    <x v="0"/>
    <x v="0"/>
    <x v="8"/>
    <n v="2748016"/>
  </r>
  <r>
    <x v="1"/>
    <x v="1"/>
    <x v="1"/>
    <x v="9"/>
    <n v="3048751.03"/>
  </r>
  <r>
    <x v="1"/>
    <x v="1"/>
    <x v="0"/>
    <x v="9"/>
    <m/>
  </r>
  <r>
    <x v="1"/>
    <x v="0"/>
    <x v="0"/>
    <x v="9"/>
    <n v="2685608.7800000012"/>
  </r>
  <r>
    <x v="1"/>
    <x v="1"/>
    <x v="1"/>
    <x v="10"/>
    <n v="4438293.0199999996"/>
  </r>
  <r>
    <x v="1"/>
    <x v="1"/>
    <x v="0"/>
    <x v="10"/>
    <m/>
  </r>
  <r>
    <x v="1"/>
    <x v="0"/>
    <x v="0"/>
    <x v="10"/>
    <n v="1998333.0799999996"/>
  </r>
  <r>
    <x v="1"/>
    <x v="1"/>
    <x v="1"/>
    <x v="11"/>
    <n v="5038816.22"/>
  </r>
  <r>
    <x v="1"/>
    <x v="1"/>
    <x v="0"/>
    <x v="11"/>
    <m/>
  </r>
  <r>
    <x v="1"/>
    <x v="0"/>
    <x v="0"/>
    <x v="11"/>
    <n v="2846170.8899999997"/>
  </r>
  <r>
    <x v="2"/>
    <x v="0"/>
    <x v="0"/>
    <x v="0"/>
    <n v="1475128.9099999992"/>
  </r>
  <r>
    <x v="2"/>
    <x v="1"/>
    <x v="1"/>
    <x v="0"/>
    <n v="1922414"/>
  </r>
  <r>
    <x v="2"/>
    <x v="1"/>
    <x v="0"/>
    <x v="0"/>
    <n v="1221260.0999999996"/>
  </r>
  <r>
    <x v="2"/>
    <x v="0"/>
    <x v="0"/>
    <x v="1"/>
    <n v="1282644.0499999996"/>
  </r>
  <r>
    <x v="2"/>
    <x v="1"/>
    <x v="1"/>
    <x v="1"/>
    <n v="1901092"/>
  </r>
  <r>
    <x v="2"/>
    <x v="1"/>
    <x v="0"/>
    <x v="1"/>
    <n v="1314435.9599999997"/>
  </r>
  <r>
    <x v="2"/>
    <x v="0"/>
    <x v="0"/>
    <x v="2"/>
    <n v="1404391.4499999995"/>
  </r>
  <r>
    <x v="2"/>
    <x v="1"/>
    <x v="1"/>
    <x v="2"/>
    <n v="2116469.9500000002"/>
  </r>
  <r>
    <x v="2"/>
    <x v="1"/>
    <x v="0"/>
    <x v="2"/>
    <n v="1475048.25"/>
  </r>
  <r>
    <x v="2"/>
    <x v="0"/>
    <x v="0"/>
    <x v="3"/>
    <n v="1506428.73"/>
  </r>
  <r>
    <x v="2"/>
    <x v="1"/>
    <x v="1"/>
    <x v="3"/>
    <n v="2041821"/>
  </r>
  <r>
    <x v="2"/>
    <x v="1"/>
    <x v="0"/>
    <x v="3"/>
    <m/>
  </r>
  <r>
    <x v="2"/>
    <x v="0"/>
    <x v="0"/>
    <x v="4"/>
    <n v="1796601.6300000004"/>
  </r>
  <r>
    <x v="2"/>
    <x v="1"/>
    <x v="1"/>
    <x v="4"/>
    <n v="2107918"/>
  </r>
  <r>
    <x v="2"/>
    <x v="1"/>
    <x v="0"/>
    <x v="4"/>
    <m/>
  </r>
  <r>
    <x v="2"/>
    <x v="0"/>
    <x v="0"/>
    <x v="5"/>
    <n v="1350865"/>
  </r>
  <r>
    <x v="2"/>
    <x v="1"/>
    <x v="1"/>
    <x v="5"/>
    <n v="1859459"/>
  </r>
  <r>
    <x v="2"/>
    <x v="1"/>
    <x v="0"/>
    <x v="5"/>
    <m/>
  </r>
  <r>
    <x v="2"/>
    <x v="0"/>
    <x v="0"/>
    <x v="6"/>
    <n v="1351927.41"/>
  </r>
  <r>
    <x v="2"/>
    <x v="1"/>
    <x v="1"/>
    <x v="6"/>
    <n v="1716089"/>
  </r>
  <r>
    <x v="2"/>
    <x v="1"/>
    <x v="0"/>
    <x v="6"/>
    <m/>
  </r>
  <r>
    <x v="2"/>
    <x v="0"/>
    <x v="0"/>
    <x v="7"/>
    <n v="1179118.4799999997"/>
  </r>
  <r>
    <x v="2"/>
    <x v="1"/>
    <x v="1"/>
    <x v="7"/>
    <n v="1677671"/>
  </r>
  <r>
    <x v="2"/>
    <x v="1"/>
    <x v="0"/>
    <x v="7"/>
    <m/>
  </r>
  <r>
    <x v="2"/>
    <x v="0"/>
    <x v="0"/>
    <x v="8"/>
    <n v="1086631.6399999997"/>
  </r>
  <r>
    <x v="2"/>
    <x v="1"/>
    <x v="1"/>
    <x v="8"/>
    <n v="1420890"/>
  </r>
  <r>
    <x v="2"/>
    <x v="1"/>
    <x v="0"/>
    <x v="8"/>
    <m/>
  </r>
  <r>
    <x v="2"/>
    <x v="0"/>
    <x v="0"/>
    <x v="9"/>
    <n v="1224896.24"/>
  </r>
  <r>
    <x v="2"/>
    <x v="1"/>
    <x v="1"/>
    <x v="9"/>
    <n v="1346884"/>
  </r>
  <r>
    <x v="2"/>
    <x v="1"/>
    <x v="0"/>
    <x v="9"/>
    <m/>
  </r>
  <r>
    <x v="2"/>
    <x v="0"/>
    <x v="0"/>
    <x v="10"/>
    <n v="944428.09"/>
  </r>
  <r>
    <x v="2"/>
    <x v="1"/>
    <x v="1"/>
    <x v="10"/>
    <n v="1489354"/>
  </r>
  <r>
    <x v="2"/>
    <x v="1"/>
    <x v="0"/>
    <x v="10"/>
    <m/>
  </r>
  <r>
    <x v="2"/>
    <x v="0"/>
    <x v="0"/>
    <x v="11"/>
    <n v="922559.33000000007"/>
  </r>
  <r>
    <x v="2"/>
    <x v="1"/>
    <x v="1"/>
    <x v="11"/>
    <n v="1870731"/>
  </r>
  <r>
    <x v="2"/>
    <x v="1"/>
    <x v="0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94B95-948E-445A-99E8-92B1E2C3E760}" name="TablaDinámica4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K17" firstHeaderRow="1" firstDataRow="1" firstDataCol="1" rowPageCount="2" colPageCount="1"/>
  <pivotFields count="5">
    <pivotField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1" item="1" hier="-1"/>
    <pageField fld="2" item="1" hier="-1"/>
  </pageFields>
  <dataFields count="1">
    <dataField name="Suma de Monto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EF7FC-B545-49FA-B266-1C620BB828DF}" name="TablaDinámica5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4:N17" firstHeaderRow="1" firstDataRow="1" firstDataCol="1" rowPageCount="2" colPageCount="1"/>
  <pivotFields count="5">
    <pivotField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1" item="0" hier="-1"/>
    <pageField fld="2" item="1" hier="-1"/>
  </pageFields>
  <dataFields count="1">
    <dataField name="Suma de Monto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8E534-6905-4213-9765-D1C951D6BE88}" name="TablaDinámica7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4:T6" firstHeaderRow="1" firstDataRow="1" firstDataCol="1" rowPageCount="2" colPageCount="1"/>
  <pivotFields count="5">
    <pivotField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dataField="1" showAll="0"/>
  </pivotFields>
  <rowFields count="1">
    <field x="3"/>
  </rowFields>
  <rowItems count="2">
    <i>
      <x v="2"/>
    </i>
    <i t="grand">
      <x/>
    </i>
  </rowItems>
  <colItems count="1">
    <i/>
  </colItems>
  <pageFields count="2">
    <pageField fld="1" item="0" hier="-1"/>
    <pageField fld="2" item="1" hier="-1"/>
  </pageFields>
  <dataFields count="1">
    <dataField name="Suma de Monto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2F24-D28C-45D6-BE72-A4474DF8468F}" name="TablaDinámica3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4:H17" firstHeaderRow="1" firstDataRow="1" firstDataCol="1" rowPageCount="2" colPageCount="1"/>
  <pivotFields count="5">
    <pivotField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1" item="1" hier="-1"/>
    <pageField fld="2" item="0" hier="-1"/>
  </pageFields>
  <dataFields count="1">
    <dataField name="Suma de Monto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D5E09-2C94-4909-A678-C98492256E28}" name="TablaDinámica2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E6" firstHeaderRow="1" firstDataRow="1" firstDataCol="1" rowPageCount="2" colPageCount="1"/>
  <pivotFields count="5">
    <pivotField axis="axisRow"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dataField="1" showAll="0"/>
  </pivotFields>
  <rowFields count="1">
    <field x="0"/>
  </rowFields>
  <rowItems count="2">
    <i>
      <x v="2"/>
    </i>
    <i t="grand">
      <x/>
    </i>
  </rowItems>
  <colItems count="1">
    <i/>
  </colItems>
  <pageFields count="2">
    <pageField fld="1" item="1" hier="-1"/>
    <pageField fld="2" item="1" hier="-1"/>
  </pageFields>
  <dataFields count="1">
    <dataField name="Suma de Monto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825F7-F02D-4083-942C-8A08CA50DA15}" name="TablaDinámica1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6" firstHeaderRow="1" firstDataRow="1" firstDataCol="1" rowPageCount="2" colPageCount="1"/>
  <pivotFields count="5">
    <pivotField axis="axisRow"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dataField="1" showAll="0"/>
  </pivotFields>
  <rowFields count="1">
    <field x="0"/>
  </rowFields>
  <rowItems count="2">
    <i>
      <x v="2"/>
    </i>
    <i t="grand">
      <x/>
    </i>
  </rowItems>
  <colItems count="1">
    <i/>
  </colItems>
  <pageFields count="2">
    <pageField fld="1" item="1" hier="-1"/>
    <pageField fld="2" item="0" hier="-1"/>
  </pageFields>
  <dataFields count="1">
    <dataField name="Suma de Monto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80670-8E4C-46F6-ADE6-4FD422B3454A}" name="TablaDinámica6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4:Q6" firstHeaderRow="1" firstDataRow="1" firstDataCol="1" rowPageCount="2" colPageCount="1"/>
  <pivotFields count="5">
    <pivotField showAll="0">
      <items count="4">
        <item h="1" x="0"/>
        <item h="1"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dataField="1" showAll="0"/>
  </pivotFields>
  <rowFields count="1">
    <field x="3"/>
  </rowFields>
  <rowItems count="2">
    <i>
      <x v="2"/>
    </i>
    <i t="grand">
      <x/>
    </i>
  </rowItems>
  <colItems count="1">
    <i/>
  </colItems>
  <pageFields count="2">
    <pageField fld="1" item="1" hier="-1"/>
    <pageField fld="2" item="1" hier="-1"/>
  </pageFields>
  <dataFields count="1">
    <dataField name="Suma de Monto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refreshOnLoad="1" connectionId="3" xr16:uid="{DEA46D66-E876-4191-B048-D0CAC9E78DDB}" autoFormatId="16" applyNumberFormats="0" applyBorderFormats="0" applyFontFormats="0" applyPatternFormats="0" applyAlignmentFormats="0" applyWidthHeightFormats="0">
  <queryTableRefresh nextId="6">
    <queryTableFields count="5">
      <queryTableField id="1" name="Unidad Organizativa" tableColumnId="1"/>
      <queryTableField id="2" name="Año" tableColumnId="2"/>
      <queryTableField id="3" name="Escenario" tableColumnId="3"/>
      <queryTableField id="4" name="Mes" tableColumnId="4"/>
      <queryTableField id="5" name="Monto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dad_Organizativa" xr10:uid="{F088EE26-151F-4E18-A86A-1DD82495E653}" sourceName="Unidad Organizativa">
  <pivotTables>
    <pivotTable tabId="12" name="TablaDinámica1"/>
    <pivotTable tabId="12" name="TablaDinámica2"/>
    <pivotTable tabId="12" name="TablaDinámica3"/>
    <pivotTable tabId="12" name="TablaDinámica4"/>
    <pivotTable tabId="12" name="TablaDinámica5"/>
    <pivotTable tabId="12" name="TablaDinámica6"/>
    <pivotTable tabId="12" name="TablaDinámica7"/>
  </pivotTables>
  <data>
    <tabular pivotCacheId="785915428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169BC7BB-9905-4F86-AD67-6E75C03131C4}" sourceName="Mes">
  <pivotTables>
    <pivotTable tabId="12" name="TablaDinámica1"/>
    <pivotTable tabId="12" name="TablaDinámica2"/>
    <pivotTable tabId="12" name="TablaDinámica6"/>
    <pivotTable tabId="12" name="TablaDinámica7"/>
  </pivotTables>
  <data>
    <tabular pivotCacheId="785915428">
      <items count="12">
        <i x="0"/>
        <i x="1"/>
        <i x="2" s="1"/>
        <i x="3"/>
        <i x="4"/>
        <i x="5"/>
        <i x="6"/>
        <i x="7"/>
        <i x="8"/>
        <i x="9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 Organizativa" xr10:uid="{10BD6443-D21B-4013-9E79-44B66098A615}" cache="SegmentaciónDeDatos_Unidad_Organizativa" style="Mi estilo 1 2 2" rowHeight="234950"/>
  <slicer name="Mes 1" xr10:uid="{CF7A06CA-C17E-473D-B14E-2F3FB578C8A9}" cache="SegmentaciónDeDatos_Mes1" style="Mi estilo 1 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5901E-8CFF-4B75-A7AA-EB28A178B28F}" name="Presupuesto_Anual" displayName="Presupuesto_Anual" ref="A1:E109" tableType="queryTable" totalsRowShown="0">
  <autoFilter ref="A1:E109" xr:uid="{9E65901E-8CFF-4B75-A7AA-EB28A178B28F}"/>
  <tableColumns count="5">
    <tableColumn id="1" xr3:uid="{0A881985-D084-48DF-8EFE-8E8AC7A24C4D}" uniqueName="1" name="Unidad Organizativa" queryTableFieldId="1" dataDxfId="2"/>
    <tableColumn id="2" xr3:uid="{1C476F28-03A0-411A-BFD5-731CF7A18BB2}" uniqueName="2" name="Año" queryTableFieldId="2"/>
    <tableColumn id="3" xr3:uid="{0B7304B8-4C8F-4F58-800A-9072831FD812}" uniqueName="3" name="Escenario" queryTableFieldId="3" dataDxfId="1"/>
    <tableColumn id="4" xr3:uid="{D55117D0-9CD4-444A-917F-F4A39A35C8D3}" uniqueName="4" name="Mes" queryTableFieldId="4" dataDxfId="0"/>
    <tableColumn id="5" xr3:uid="{162C205C-54F3-46FE-8053-1FBA930ADFE6}" uniqueName="5" name="Mont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FD35-4B8B-4BBB-B377-214B813D99EB}">
  <dimension ref="A1:E109"/>
  <sheetViews>
    <sheetView workbookViewId="0">
      <selection activeCell="C14" sqref="C14"/>
    </sheetView>
  </sheetViews>
  <sheetFormatPr baseColWidth="10" defaultRowHeight="14.4" x14ac:dyDescent="0.3"/>
  <cols>
    <col min="1" max="1" width="21.77734375" bestFit="1" customWidth="1"/>
    <col min="2" max="2" width="6.6640625" bestFit="1" customWidth="1"/>
    <col min="3" max="3" width="11.21875" bestFit="1" customWidth="1"/>
    <col min="4" max="4" width="10.2187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2025</v>
      </c>
      <c r="C2" t="s">
        <v>6</v>
      </c>
      <c r="D2" t="s">
        <v>7</v>
      </c>
      <c r="E2">
        <v>3607199.8400000008</v>
      </c>
    </row>
    <row r="3" spans="1:5" x14ac:dyDescent="0.3">
      <c r="A3" t="s">
        <v>5</v>
      </c>
      <c r="B3">
        <v>2026</v>
      </c>
      <c r="C3" t="s">
        <v>8</v>
      </c>
      <c r="D3" t="s">
        <v>7</v>
      </c>
      <c r="E3">
        <v>5905925</v>
      </c>
    </row>
    <row r="4" spans="1:5" x14ac:dyDescent="0.3">
      <c r="A4" t="s">
        <v>5</v>
      </c>
      <c r="B4">
        <v>2026</v>
      </c>
      <c r="C4" t="s">
        <v>6</v>
      </c>
      <c r="D4" t="s">
        <v>7</v>
      </c>
      <c r="E4">
        <v>4160218.03</v>
      </c>
    </row>
    <row r="5" spans="1:5" x14ac:dyDescent="0.3">
      <c r="A5" t="s">
        <v>5</v>
      </c>
      <c r="B5">
        <v>2025</v>
      </c>
      <c r="C5" t="s">
        <v>6</v>
      </c>
      <c r="D5" t="s">
        <v>9</v>
      </c>
      <c r="E5">
        <v>3357703.040000001</v>
      </c>
    </row>
    <row r="6" spans="1:5" x14ac:dyDescent="0.3">
      <c r="A6" t="s">
        <v>5</v>
      </c>
      <c r="B6">
        <v>2026</v>
      </c>
      <c r="C6" t="s">
        <v>8</v>
      </c>
      <c r="D6" t="s">
        <v>9</v>
      </c>
      <c r="E6">
        <v>5370722</v>
      </c>
    </row>
    <row r="7" spans="1:5" x14ac:dyDescent="0.3">
      <c r="A7" t="s">
        <v>5</v>
      </c>
      <c r="B7">
        <v>2026</v>
      </c>
      <c r="C7" t="s">
        <v>6</v>
      </c>
      <c r="D7" t="s">
        <v>9</v>
      </c>
      <c r="E7">
        <v>4577412.2299999995</v>
      </c>
    </row>
    <row r="8" spans="1:5" x14ac:dyDescent="0.3">
      <c r="A8" t="s">
        <v>5</v>
      </c>
      <c r="B8">
        <v>2025</v>
      </c>
      <c r="C8" t="s">
        <v>6</v>
      </c>
      <c r="D8" t="s">
        <v>10</v>
      </c>
      <c r="E8">
        <v>3763070.3200000026</v>
      </c>
    </row>
    <row r="9" spans="1:5" x14ac:dyDescent="0.3">
      <c r="A9" t="s">
        <v>5</v>
      </c>
      <c r="B9">
        <v>2026</v>
      </c>
      <c r="C9" t="s">
        <v>8</v>
      </c>
      <c r="D9" t="s">
        <v>10</v>
      </c>
      <c r="E9">
        <v>5789408</v>
      </c>
    </row>
    <row r="10" spans="1:5" x14ac:dyDescent="0.3">
      <c r="A10" t="s">
        <v>5</v>
      </c>
      <c r="B10">
        <v>2026</v>
      </c>
      <c r="C10" t="s">
        <v>6</v>
      </c>
      <c r="D10" t="s">
        <v>10</v>
      </c>
      <c r="E10">
        <v>4769875.7699999996</v>
      </c>
    </row>
    <row r="11" spans="1:5" x14ac:dyDescent="0.3">
      <c r="A11" t="s">
        <v>5</v>
      </c>
      <c r="B11">
        <v>2025</v>
      </c>
      <c r="C11" t="s">
        <v>6</v>
      </c>
      <c r="D11" t="s">
        <v>11</v>
      </c>
      <c r="E11">
        <v>3980928.49</v>
      </c>
    </row>
    <row r="12" spans="1:5" x14ac:dyDescent="0.3">
      <c r="A12" t="s">
        <v>5</v>
      </c>
      <c r="B12">
        <v>2026</v>
      </c>
      <c r="C12" t="s">
        <v>8</v>
      </c>
      <c r="D12" t="s">
        <v>11</v>
      </c>
      <c r="E12">
        <v>5596513</v>
      </c>
    </row>
    <row r="13" spans="1:5" x14ac:dyDescent="0.3">
      <c r="A13" t="s">
        <v>5</v>
      </c>
      <c r="B13">
        <v>2026</v>
      </c>
      <c r="C13" t="s">
        <v>6</v>
      </c>
      <c r="D13" t="s">
        <v>11</v>
      </c>
    </row>
    <row r="14" spans="1:5" x14ac:dyDescent="0.3">
      <c r="A14" t="s">
        <v>5</v>
      </c>
      <c r="B14">
        <v>2025</v>
      </c>
      <c r="C14" t="s">
        <v>6</v>
      </c>
      <c r="D14" t="s">
        <v>12</v>
      </c>
      <c r="E14">
        <v>4523879.5600000033</v>
      </c>
    </row>
    <row r="15" spans="1:5" x14ac:dyDescent="0.3">
      <c r="A15" t="s">
        <v>5</v>
      </c>
      <c r="B15">
        <v>2026</v>
      </c>
      <c r="C15" t="s">
        <v>8</v>
      </c>
      <c r="D15" t="s">
        <v>12</v>
      </c>
      <c r="E15">
        <v>3798934</v>
      </c>
    </row>
    <row r="16" spans="1:5" x14ac:dyDescent="0.3">
      <c r="A16" t="s">
        <v>5</v>
      </c>
      <c r="B16">
        <v>2026</v>
      </c>
      <c r="C16" t="s">
        <v>6</v>
      </c>
      <c r="D16" t="s">
        <v>12</v>
      </c>
    </row>
    <row r="17" spans="1:5" x14ac:dyDescent="0.3">
      <c r="A17" t="s">
        <v>5</v>
      </c>
      <c r="B17">
        <v>2025</v>
      </c>
      <c r="C17" t="s">
        <v>6</v>
      </c>
      <c r="D17" t="s">
        <v>13</v>
      </c>
      <c r="E17">
        <v>2745004.4</v>
      </c>
    </row>
    <row r="18" spans="1:5" x14ac:dyDescent="0.3">
      <c r="A18" t="s">
        <v>5</v>
      </c>
      <c r="B18">
        <v>2026</v>
      </c>
      <c r="C18" t="s">
        <v>8</v>
      </c>
      <c r="D18" t="s">
        <v>13</v>
      </c>
      <c r="E18">
        <v>3159916</v>
      </c>
    </row>
    <row r="19" spans="1:5" x14ac:dyDescent="0.3">
      <c r="A19" t="s">
        <v>5</v>
      </c>
      <c r="B19">
        <v>2026</v>
      </c>
      <c r="C19" t="s">
        <v>6</v>
      </c>
      <c r="D19" t="s">
        <v>13</v>
      </c>
    </row>
    <row r="20" spans="1:5" x14ac:dyDescent="0.3">
      <c r="A20" t="s">
        <v>5</v>
      </c>
      <c r="B20">
        <v>2025</v>
      </c>
      <c r="C20" t="s">
        <v>6</v>
      </c>
      <c r="D20" t="s">
        <v>14</v>
      </c>
      <c r="E20">
        <v>2940006.98</v>
      </c>
    </row>
    <row r="21" spans="1:5" x14ac:dyDescent="0.3">
      <c r="A21" t="s">
        <v>5</v>
      </c>
      <c r="B21">
        <v>2026</v>
      </c>
      <c r="C21" t="s">
        <v>8</v>
      </c>
      <c r="D21" t="s">
        <v>14</v>
      </c>
      <c r="E21">
        <v>2945542</v>
      </c>
    </row>
    <row r="22" spans="1:5" x14ac:dyDescent="0.3">
      <c r="A22" t="s">
        <v>5</v>
      </c>
      <c r="B22">
        <v>2026</v>
      </c>
      <c r="C22" t="s">
        <v>6</v>
      </c>
      <c r="D22" t="s">
        <v>14</v>
      </c>
    </row>
    <row r="23" spans="1:5" x14ac:dyDescent="0.3">
      <c r="A23" t="s">
        <v>5</v>
      </c>
      <c r="B23">
        <v>2025</v>
      </c>
      <c r="C23" t="s">
        <v>6</v>
      </c>
      <c r="D23" t="s">
        <v>15</v>
      </c>
      <c r="E23">
        <v>2594544.94</v>
      </c>
    </row>
    <row r="24" spans="1:5" x14ac:dyDescent="0.3">
      <c r="A24" t="s">
        <v>5</v>
      </c>
      <c r="B24">
        <v>2026</v>
      </c>
      <c r="C24" t="s">
        <v>8</v>
      </c>
      <c r="D24" t="s">
        <v>15</v>
      </c>
      <c r="E24">
        <v>2905775</v>
      </c>
    </row>
    <row r="25" spans="1:5" x14ac:dyDescent="0.3">
      <c r="A25" t="s">
        <v>5</v>
      </c>
      <c r="B25">
        <v>2026</v>
      </c>
      <c r="C25" t="s">
        <v>6</v>
      </c>
      <c r="D25" t="s">
        <v>15</v>
      </c>
    </row>
    <row r="26" spans="1:5" x14ac:dyDescent="0.3">
      <c r="A26" t="s">
        <v>5</v>
      </c>
      <c r="B26">
        <v>2025</v>
      </c>
      <c r="C26" t="s">
        <v>6</v>
      </c>
      <c r="D26" t="s">
        <v>16</v>
      </c>
      <c r="E26">
        <v>2645532.5800000005</v>
      </c>
    </row>
    <row r="27" spans="1:5" x14ac:dyDescent="0.3">
      <c r="A27" t="s">
        <v>5</v>
      </c>
      <c r="B27">
        <v>2026</v>
      </c>
      <c r="C27" t="s">
        <v>8</v>
      </c>
      <c r="D27" t="s">
        <v>16</v>
      </c>
      <c r="E27">
        <v>2776535</v>
      </c>
    </row>
    <row r="28" spans="1:5" x14ac:dyDescent="0.3">
      <c r="A28" t="s">
        <v>5</v>
      </c>
      <c r="B28">
        <v>2026</v>
      </c>
      <c r="C28" t="s">
        <v>6</v>
      </c>
      <c r="D28" t="s">
        <v>16</v>
      </c>
    </row>
    <row r="29" spans="1:5" x14ac:dyDescent="0.3">
      <c r="A29" t="s">
        <v>5</v>
      </c>
      <c r="B29">
        <v>2025</v>
      </c>
      <c r="C29" t="s">
        <v>6</v>
      </c>
      <c r="D29" t="s">
        <v>17</v>
      </c>
      <c r="E29">
        <v>3195507.21</v>
      </c>
    </row>
    <row r="30" spans="1:5" x14ac:dyDescent="0.3">
      <c r="A30" t="s">
        <v>5</v>
      </c>
      <c r="B30">
        <v>2026</v>
      </c>
      <c r="C30" t="s">
        <v>8</v>
      </c>
      <c r="D30" t="s">
        <v>17</v>
      </c>
      <c r="E30">
        <v>2808591</v>
      </c>
    </row>
    <row r="31" spans="1:5" x14ac:dyDescent="0.3">
      <c r="A31" t="s">
        <v>5</v>
      </c>
      <c r="B31">
        <v>2026</v>
      </c>
      <c r="C31" t="s">
        <v>6</v>
      </c>
      <c r="D31" t="s">
        <v>17</v>
      </c>
    </row>
    <row r="32" spans="1:5" x14ac:dyDescent="0.3">
      <c r="A32" t="s">
        <v>5</v>
      </c>
      <c r="B32">
        <v>2025</v>
      </c>
      <c r="C32" t="s">
        <v>6</v>
      </c>
      <c r="D32" t="s">
        <v>18</v>
      </c>
      <c r="E32">
        <v>2578258.59</v>
      </c>
    </row>
    <row r="33" spans="1:5" x14ac:dyDescent="0.3">
      <c r="A33" t="s">
        <v>5</v>
      </c>
      <c r="B33">
        <v>2026</v>
      </c>
      <c r="C33" t="s">
        <v>8</v>
      </c>
      <c r="D33" t="s">
        <v>18</v>
      </c>
      <c r="E33">
        <v>3007678</v>
      </c>
    </row>
    <row r="34" spans="1:5" x14ac:dyDescent="0.3">
      <c r="A34" t="s">
        <v>5</v>
      </c>
      <c r="B34">
        <v>2026</v>
      </c>
      <c r="C34" t="s">
        <v>6</v>
      </c>
      <c r="D34" t="s">
        <v>18</v>
      </c>
    </row>
    <row r="35" spans="1:5" x14ac:dyDescent="0.3">
      <c r="A35" t="s">
        <v>5</v>
      </c>
      <c r="B35">
        <v>2025</v>
      </c>
      <c r="C35" t="s">
        <v>6</v>
      </c>
      <c r="D35" t="s">
        <v>19</v>
      </c>
      <c r="E35">
        <v>2583031.1499999994</v>
      </c>
    </row>
    <row r="36" spans="1:5" x14ac:dyDescent="0.3">
      <c r="A36" t="s">
        <v>5</v>
      </c>
      <c r="B36">
        <v>2026</v>
      </c>
      <c r="C36" t="s">
        <v>8</v>
      </c>
      <c r="D36" t="s">
        <v>19</v>
      </c>
      <c r="E36">
        <v>5781158</v>
      </c>
    </row>
    <row r="37" spans="1:5" x14ac:dyDescent="0.3">
      <c r="A37" t="s">
        <v>5</v>
      </c>
      <c r="B37">
        <v>2026</v>
      </c>
      <c r="C37" t="s">
        <v>6</v>
      </c>
      <c r="D37" t="s">
        <v>19</v>
      </c>
    </row>
    <row r="38" spans="1:5" x14ac:dyDescent="0.3">
      <c r="A38" t="s">
        <v>20</v>
      </c>
      <c r="B38">
        <v>2026</v>
      </c>
      <c r="C38" t="s">
        <v>8</v>
      </c>
      <c r="D38" t="s">
        <v>7</v>
      </c>
      <c r="E38">
        <v>5858754.71</v>
      </c>
    </row>
    <row r="39" spans="1:5" x14ac:dyDescent="0.3">
      <c r="A39" t="s">
        <v>20</v>
      </c>
      <c r="B39">
        <v>2026</v>
      </c>
      <c r="C39" t="s">
        <v>6</v>
      </c>
      <c r="D39" t="s">
        <v>7</v>
      </c>
      <c r="E39">
        <v>4023683.5199999996</v>
      </c>
    </row>
    <row r="40" spans="1:5" x14ac:dyDescent="0.3">
      <c r="A40" t="s">
        <v>20</v>
      </c>
      <c r="B40">
        <v>2025</v>
      </c>
      <c r="C40" t="s">
        <v>6</v>
      </c>
      <c r="D40" t="s">
        <v>7</v>
      </c>
      <c r="E40">
        <v>4710916.4000000004</v>
      </c>
    </row>
    <row r="41" spans="1:5" x14ac:dyDescent="0.3">
      <c r="A41" t="s">
        <v>20</v>
      </c>
      <c r="B41">
        <v>2026</v>
      </c>
      <c r="C41" t="s">
        <v>8</v>
      </c>
      <c r="D41" t="s">
        <v>9</v>
      </c>
      <c r="E41">
        <v>5255286.76</v>
      </c>
    </row>
    <row r="42" spans="1:5" x14ac:dyDescent="0.3">
      <c r="A42" t="s">
        <v>20</v>
      </c>
      <c r="B42">
        <v>2026</v>
      </c>
      <c r="C42" t="s">
        <v>6</v>
      </c>
      <c r="D42" t="s">
        <v>9</v>
      </c>
      <c r="E42">
        <v>4002246.8400000008</v>
      </c>
    </row>
    <row r="43" spans="1:5" x14ac:dyDescent="0.3">
      <c r="A43" t="s">
        <v>20</v>
      </c>
      <c r="B43">
        <v>2025</v>
      </c>
      <c r="C43" t="s">
        <v>6</v>
      </c>
      <c r="D43" t="s">
        <v>9</v>
      </c>
      <c r="E43">
        <v>4046755.330000001</v>
      </c>
    </row>
    <row r="44" spans="1:5" x14ac:dyDescent="0.3">
      <c r="A44" t="s">
        <v>20</v>
      </c>
      <c r="B44">
        <v>2026</v>
      </c>
      <c r="C44" t="s">
        <v>8</v>
      </c>
      <c r="D44" t="s">
        <v>10</v>
      </c>
      <c r="E44">
        <v>5858754.71</v>
      </c>
    </row>
    <row r="45" spans="1:5" x14ac:dyDescent="0.3">
      <c r="A45" t="s">
        <v>20</v>
      </c>
      <c r="B45">
        <v>2026</v>
      </c>
      <c r="C45" t="s">
        <v>6</v>
      </c>
      <c r="D45" t="s">
        <v>10</v>
      </c>
    </row>
    <row r="46" spans="1:5" x14ac:dyDescent="0.3">
      <c r="A46" t="s">
        <v>20</v>
      </c>
      <c r="B46">
        <v>2025</v>
      </c>
      <c r="C46" t="s">
        <v>6</v>
      </c>
      <c r="D46" t="s">
        <v>10</v>
      </c>
      <c r="E46">
        <v>4235969.4800000014</v>
      </c>
    </row>
    <row r="47" spans="1:5" x14ac:dyDescent="0.3">
      <c r="A47" t="s">
        <v>20</v>
      </c>
      <c r="B47">
        <v>2026</v>
      </c>
      <c r="C47" t="s">
        <v>8</v>
      </c>
      <c r="D47" t="s">
        <v>11</v>
      </c>
      <c r="E47">
        <v>5640947.4699999997</v>
      </c>
    </row>
    <row r="48" spans="1:5" x14ac:dyDescent="0.3">
      <c r="A48" t="s">
        <v>20</v>
      </c>
      <c r="B48">
        <v>2026</v>
      </c>
      <c r="C48" t="s">
        <v>6</v>
      </c>
      <c r="D48" t="s">
        <v>11</v>
      </c>
    </row>
    <row r="49" spans="1:5" x14ac:dyDescent="0.3">
      <c r="A49" t="s">
        <v>20</v>
      </c>
      <c r="B49">
        <v>2025</v>
      </c>
      <c r="C49" t="s">
        <v>6</v>
      </c>
      <c r="D49" t="s">
        <v>11</v>
      </c>
      <c r="E49">
        <v>4335717.870000001</v>
      </c>
    </row>
    <row r="50" spans="1:5" x14ac:dyDescent="0.3">
      <c r="A50" t="s">
        <v>20</v>
      </c>
      <c r="B50">
        <v>2026</v>
      </c>
      <c r="C50" t="s">
        <v>8</v>
      </c>
      <c r="D50" t="s">
        <v>12</v>
      </c>
      <c r="E50">
        <v>5516001.29</v>
      </c>
    </row>
    <row r="51" spans="1:5" x14ac:dyDescent="0.3">
      <c r="A51" t="s">
        <v>20</v>
      </c>
      <c r="B51">
        <v>2026</v>
      </c>
      <c r="C51" t="s">
        <v>6</v>
      </c>
      <c r="D51" t="s">
        <v>12</v>
      </c>
    </row>
    <row r="52" spans="1:5" x14ac:dyDescent="0.3">
      <c r="A52" t="s">
        <v>20</v>
      </c>
      <c r="B52">
        <v>2025</v>
      </c>
      <c r="C52" t="s">
        <v>6</v>
      </c>
      <c r="D52" t="s">
        <v>12</v>
      </c>
      <c r="E52">
        <v>4757158.2000000011</v>
      </c>
    </row>
    <row r="53" spans="1:5" x14ac:dyDescent="0.3">
      <c r="A53" t="s">
        <v>20</v>
      </c>
      <c r="B53">
        <v>2026</v>
      </c>
      <c r="C53" t="s">
        <v>8</v>
      </c>
      <c r="D53" t="s">
        <v>13</v>
      </c>
      <c r="E53">
        <v>3406275.79</v>
      </c>
    </row>
    <row r="54" spans="1:5" x14ac:dyDescent="0.3">
      <c r="A54" t="s">
        <v>20</v>
      </c>
      <c r="B54">
        <v>2026</v>
      </c>
      <c r="C54" t="s">
        <v>6</v>
      </c>
      <c r="D54" t="s">
        <v>13</v>
      </c>
    </row>
    <row r="55" spans="1:5" x14ac:dyDescent="0.3">
      <c r="A55" t="s">
        <v>20</v>
      </c>
      <c r="B55">
        <v>2025</v>
      </c>
      <c r="C55" t="s">
        <v>6</v>
      </c>
      <c r="D55" t="s">
        <v>13</v>
      </c>
      <c r="E55">
        <v>3334201.9600000004</v>
      </c>
    </row>
    <row r="56" spans="1:5" x14ac:dyDescent="0.3">
      <c r="A56" t="s">
        <v>20</v>
      </c>
      <c r="B56">
        <v>2026</v>
      </c>
      <c r="C56" t="s">
        <v>8</v>
      </c>
      <c r="D56" t="s">
        <v>14</v>
      </c>
      <c r="E56">
        <v>3702097.11</v>
      </c>
    </row>
    <row r="57" spans="1:5" x14ac:dyDescent="0.3">
      <c r="A57" t="s">
        <v>20</v>
      </c>
      <c r="B57">
        <v>2026</v>
      </c>
      <c r="C57" t="s">
        <v>6</v>
      </c>
      <c r="D57" t="s">
        <v>14</v>
      </c>
    </row>
    <row r="58" spans="1:5" x14ac:dyDescent="0.3">
      <c r="A58" t="s">
        <v>20</v>
      </c>
      <c r="B58">
        <v>2025</v>
      </c>
      <c r="C58" t="s">
        <v>6</v>
      </c>
      <c r="D58" t="s">
        <v>14</v>
      </c>
      <c r="E58">
        <v>3807857.5800000033</v>
      </c>
    </row>
    <row r="59" spans="1:5" x14ac:dyDescent="0.3">
      <c r="A59" t="s">
        <v>20</v>
      </c>
      <c r="B59">
        <v>2026</v>
      </c>
      <c r="C59" t="s">
        <v>8</v>
      </c>
      <c r="D59" t="s">
        <v>15</v>
      </c>
      <c r="E59">
        <v>3302285.87</v>
      </c>
    </row>
    <row r="60" spans="1:5" x14ac:dyDescent="0.3">
      <c r="A60" t="s">
        <v>20</v>
      </c>
      <c r="B60">
        <v>2026</v>
      </c>
      <c r="C60" t="s">
        <v>6</v>
      </c>
      <c r="D60" t="s">
        <v>15</v>
      </c>
    </row>
    <row r="61" spans="1:5" x14ac:dyDescent="0.3">
      <c r="A61" t="s">
        <v>20</v>
      </c>
      <c r="B61">
        <v>2025</v>
      </c>
      <c r="C61" t="s">
        <v>6</v>
      </c>
      <c r="D61" t="s">
        <v>15</v>
      </c>
      <c r="E61">
        <v>2966909.9999999991</v>
      </c>
    </row>
    <row r="62" spans="1:5" x14ac:dyDescent="0.3">
      <c r="A62" t="s">
        <v>20</v>
      </c>
      <c r="B62">
        <v>2026</v>
      </c>
      <c r="C62" t="s">
        <v>8</v>
      </c>
      <c r="D62" t="s">
        <v>16</v>
      </c>
      <c r="E62">
        <v>3064235.98</v>
      </c>
    </row>
    <row r="63" spans="1:5" x14ac:dyDescent="0.3">
      <c r="A63" t="s">
        <v>20</v>
      </c>
      <c r="B63">
        <v>2026</v>
      </c>
      <c r="C63" t="s">
        <v>6</v>
      </c>
      <c r="D63" t="s">
        <v>16</v>
      </c>
    </row>
    <row r="64" spans="1:5" x14ac:dyDescent="0.3">
      <c r="A64" t="s">
        <v>20</v>
      </c>
      <c r="B64">
        <v>2025</v>
      </c>
      <c r="C64" t="s">
        <v>6</v>
      </c>
      <c r="D64" t="s">
        <v>16</v>
      </c>
      <c r="E64">
        <v>2748016</v>
      </c>
    </row>
    <row r="65" spans="1:5" x14ac:dyDescent="0.3">
      <c r="A65" t="s">
        <v>20</v>
      </c>
      <c r="B65">
        <v>2026</v>
      </c>
      <c r="C65" t="s">
        <v>8</v>
      </c>
      <c r="D65" t="s">
        <v>17</v>
      </c>
      <c r="E65">
        <v>3048751.03</v>
      </c>
    </row>
    <row r="66" spans="1:5" x14ac:dyDescent="0.3">
      <c r="A66" t="s">
        <v>20</v>
      </c>
      <c r="B66">
        <v>2026</v>
      </c>
      <c r="C66" t="s">
        <v>6</v>
      </c>
      <c r="D66" t="s">
        <v>17</v>
      </c>
    </row>
    <row r="67" spans="1:5" x14ac:dyDescent="0.3">
      <c r="A67" t="s">
        <v>20</v>
      </c>
      <c r="B67">
        <v>2025</v>
      </c>
      <c r="C67" t="s">
        <v>6</v>
      </c>
      <c r="D67" t="s">
        <v>17</v>
      </c>
      <c r="E67">
        <v>2685608.7800000012</v>
      </c>
    </row>
    <row r="68" spans="1:5" x14ac:dyDescent="0.3">
      <c r="A68" t="s">
        <v>20</v>
      </c>
      <c r="B68">
        <v>2026</v>
      </c>
      <c r="C68" t="s">
        <v>8</v>
      </c>
      <c r="D68" t="s">
        <v>18</v>
      </c>
      <c r="E68">
        <v>4438293.0199999996</v>
      </c>
    </row>
    <row r="69" spans="1:5" x14ac:dyDescent="0.3">
      <c r="A69" t="s">
        <v>20</v>
      </c>
      <c r="B69">
        <v>2026</v>
      </c>
      <c r="C69" t="s">
        <v>6</v>
      </c>
      <c r="D69" t="s">
        <v>18</v>
      </c>
    </row>
    <row r="70" spans="1:5" x14ac:dyDescent="0.3">
      <c r="A70" t="s">
        <v>20</v>
      </c>
      <c r="B70">
        <v>2025</v>
      </c>
      <c r="C70" t="s">
        <v>6</v>
      </c>
      <c r="D70" t="s">
        <v>18</v>
      </c>
      <c r="E70">
        <v>1998333.0799999996</v>
      </c>
    </row>
    <row r="71" spans="1:5" x14ac:dyDescent="0.3">
      <c r="A71" t="s">
        <v>20</v>
      </c>
      <c r="B71">
        <v>2026</v>
      </c>
      <c r="C71" t="s">
        <v>8</v>
      </c>
      <c r="D71" t="s">
        <v>19</v>
      </c>
      <c r="E71">
        <v>5038816.22</v>
      </c>
    </row>
    <row r="72" spans="1:5" x14ac:dyDescent="0.3">
      <c r="A72" t="s">
        <v>20</v>
      </c>
      <c r="B72">
        <v>2026</v>
      </c>
      <c r="C72" t="s">
        <v>6</v>
      </c>
      <c r="D72" t="s">
        <v>19</v>
      </c>
    </row>
    <row r="73" spans="1:5" x14ac:dyDescent="0.3">
      <c r="A73" t="s">
        <v>20</v>
      </c>
      <c r="B73">
        <v>2025</v>
      </c>
      <c r="C73" t="s">
        <v>6</v>
      </c>
      <c r="D73" t="s">
        <v>19</v>
      </c>
      <c r="E73">
        <v>2846170.8899999997</v>
      </c>
    </row>
    <row r="74" spans="1:5" x14ac:dyDescent="0.3">
      <c r="A74" t="s">
        <v>21</v>
      </c>
      <c r="B74">
        <v>2025</v>
      </c>
      <c r="C74" t="s">
        <v>6</v>
      </c>
      <c r="D74" t="s">
        <v>7</v>
      </c>
      <c r="E74">
        <v>1475128.9099999992</v>
      </c>
    </row>
    <row r="75" spans="1:5" x14ac:dyDescent="0.3">
      <c r="A75" t="s">
        <v>21</v>
      </c>
      <c r="B75">
        <v>2026</v>
      </c>
      <c r="C75" t="s">
        <v>8</v>
      </c>
      <c r="D75" t="s">
        <v>7</v>
      </c>
      <c r="E75">
        <v>1922414</v>
      </c>
    </row>
    <row r="76" spans="1:5" x14ac:dyDescent="0.3">
      <c r="A76" t="s">
        <v>21</v>
      </c>
      <c r="B76">
        <v>2026</v>
      </c>
      <c r="C76" t="s">
        <v>6</v>
      </c>
      <c r="D76" t="s">
        <v>7</v>
      </c>
      <c r="E76">
        <v>1221260.0999999996</v>
      </c>
    </row>
    <row r="77" spans="1:5" x14ac:dyDescent="0.3">
      <c r="A77" t="s">
        <v>21</v>
      </c>
      <c r="B77">
        <v>2025</v>
      </c>
      <c r="C77" t="s">
        <v>6</v>
      </c>
      <c r="D77" t="s">
        <v>9</v>
      </c>
      <c r="E77">
        <v>1282644.0499999996</v>
      </c>
    </row>
    <row r="78" spans="1:5" x14ac:dyDescent="0.3">
      <c r="A78" t="s">
        <v>21</v>
      </c>
      <c r="B78">
        <v>2026</v>
      </c>
      <c r="C78" t="s">
        <v>8</v>
      </c>
      <c r="D78" t="s">
        <v>9</v>
      </c>
      <c r="E78">
        <v>1901092</v>
      </c>
    </row>
    <row r="79" spans="1:5" x14ac:dyDescent="0.3">
      <c r="A79" t="s">
        <v>21</v>
      </c>
      <c r="B79">
        <v>2026</v>
      </c>
      <c r="C79" t="s">
        <v>6</v>
      </c>
      <c r="D79" t="s">
        <v>9</v>
      </c>
      <c r="E79">
        <v>1314435.9599999997</v>
      </c>
    </row>
    <row r="80" spans="1:5" x14ac:dyDescent="0.3">
      <c r="A80" t="s">
        <v>21</v>
      </c>
      <c r="B80">
        <v>2025</v>
      </c>
      <c r="C80" t="s">
        <v>6</v>
      </c>
      <c r="D80" t="s">
        <v>10</v>
      </c>
      <c r="E80">
        <v>1404391.4499999995</v>
      </c>
    </row>
    <row r="81" spans="1:5" x14ac:dyDescent="0.3">
      <c r="A81" t="s">
        <v>21</v>
      </c>
      <c r="B81">
        <v>2026</v>
      </c>
      <c r="C81" t="s">
        <v>8</v>
      </c>
      <c r="D81" t="s">
        <v>10</v>
      </c>
      <c r="E81">
        <v>2116469.9500000002</v>
      </c>
    </row>
    <row r="82" spans="1:5" x14ac:dyDescent="0.3">
      <c r="A82" t="s">
        <v>21</v>
      </c>
      <c r="B82">
        <v>2026</v>
      </c>
      <c r="C82" t="s">
        <v>6</v>
      </c>
      <c r="D82" t="s">
        <v>10</v>
      </c>
      <c r="E82">
        <v>1475048.25</v>
      </c>
    </row>
    <row r="83" spans="1:5" x14ac:dyDescent="0.3">
      <c r="A83" t="s">
        <v>21</v>
      </c>
      <c r="B83">
        <v>2025</v>
      </c>
      <c r="C83" t="s">
        <v>6</v>
      </c>
      <c r="D83" t="s">
        <v>11</v>
      </c>
      <c r="E83">
        <v>1506428.73</v>
      </c>
    </row>
    <row r="84" spans="1:5" x14ac:dyDescent="0.3">
      <c r="A84" t="s">
        <v>21</v>
      </c>
      <c r="B84">
        <v>2026</v>
      </c>
      <c r="C84" t="s">
        <v>8</v>
      </c>
      <c r="D84" t="s">
        <v>11</v>
      </c>
      <c r="E84">
        <v>2041821</v>
      </c>
    </row>
    <row r="85" spans="1:5" x14ac:dyDescent="0.3">
      <c r="A85" t="s">
        <v>21</v>
      </c>
      <c r="B85">
        <v>2026</v>
      </c>
      <c r="C85" t="s">
        <v>6</v>
      </c>
      <c r="D85" t="s">
        <v>11</v>
      </c>
    </row>
    <row r="86" spans="1:5" x14ac:dyDescent="0.3">
      <c r="A86" t="s">
        <v>21</v>
      </c>
      <c r="B86">
        <v>2025</v>
      </c>
      <c r="C86" t="s">
        <v>6</v>
      </c>
      <c r="D86" t="s">
        <v>12</v>
      </c>
      <c r="E86">
        <v>1796601.6300000004</v>
      </c>
    </row>
    <row r="87" spans="1:5" x14ac:dyDescent="0.3">
      <c r="A87" t="s">
        <v>21</v>
      </c>
      <c r="B87">
        <v>2026</v>
      </c>
      <c r="C87" t="s">
        <v>8</v>
      </c>
      <c r="D87" t="s">
        <v>12</v>
      </c>
      <c r="E87">
        <v>2107918</v>
      </c>
    </row>
    <row r="88" spans="1:5" x14ac:dyDescent="0.3">
      <c r="A88" t="s">
        <v>21</v>
      </c>
      <c r="B88">
        <v>2026</v>
      </c>
      <c r="C88" t="s">
        <v>6</v>
      </c>
      <c r="D88" t="s">
        <v>12</v>
      </c>
    </row>
    <row r="89" spans="1:5" x14ac:dyDescent="0.3">
      <c r="A89" t="s">
        <v>21</v>
      </c>
      <c r="B89">
        <v>2025</v>
      </c>
      <c r="C89" t="s">
        <v>6</v>
      </c>
      <c r="D89" t="s">
        <v>13</v>
      </c>
      <c r="E89">
        <v>1350865</v>
      </c>
    </row>
    <row r="90" spans="1:5" x14ac:dyDescent="0.3">
      <c r="A90" t="s">
        <v>21</v>
      </c>
      <c r="B90">
        <v>2026</v>
      </c>
      <c r="C90" t="s">
        <v>8</v>
      </c>
      <c r="D90" t="s">
        <v>13</v>
      </c>
      <c r="E90">
        <v>1859459</v>
      </c>
    </row>
    <row r="91" spans="1:5" x14ac:dyDescent="0.3">
      <c r="A91" t="s">
        <v>21</v>
      </c>
      <c r="B91">
        <v>2026</v>
      </c>
      <c r="C91" t="s">
        <v>6</v>
      </c>
      <c r="D91" t="s">
        <v>13</v>
      </c>
    </row>
    <row r="92" spans="1:5" x14ac:dyDescent="0.3">
      <c r="A92" t="s">
        <v>21</v>
      </c>
      <c r="B92">
        <v>2025</v>
      </c>
      <c r="C92" t="s">
        <v>6</v>
      </c>
      <c r="D92" t="s">
        <v>14</v>
      </c>
      <c r="E92">
        <v>1351927.41</v>
      </c>
    </row>
    <row r="93" spans="1:5" x14ac:dyDescent="0.3">
      <c r="A93" t="s">
        <v>21</v>
      </c>
      <c r="B93">
        <v>2026</v>
      </c>
      <c r="C93" t="s">
        <v>8</v>
      </c>
      <c r="D93" t="s">
        <v>14</v>
      </c>
      <c r="E93">
        <v>1716089</v>
      </c>
    </row>
    <row r="94" spans="1:5" x14ac:dyDescent="0.3">
      <c r="A94" t="s">
        <v>21</v>
      </c>
      <c r="B94">
        <v>2026</v>
      </c>
      <c r="C94" t="s">
        <v>6</v>
      </c>
      <c r="D94" t="s">
        <v>14</v>
      </c>
    </row>
    <row r="95" spans="1:5" x14ac:dyDescent="0.3">
      <c r="A95" t="s">
        <v>21</v>
      </c>
      <c r="B95">
        <v>2025</v>
      </c>
      <c r="C95" t="s">
        <v>6</v>
      </c>
      <c r="D95" t="s">
        <v>15</v>
      </c>
      <c r="E95">
        <v>1179118.4799999997</v>
      </c>
    </row>
    <row r="96" spans="1:5" x14ac:dyDescent="0.3">
      <c r="A96" t="s">
        <v>21</v>
      </c>
      <c r="B96">
        <v>2026</v>
      </c>
      <c r="C96" t="s">
        <v>8</v>
      </c>
      <c r="D96" t="s">
        <v>15</v>
      </c>
      <c r="E96">
        <v>1677671</v>
      </c>
    </row>
    <row r="97" spans="1:5" x14ac:dyDescent="0.3">
      <c r="A97" t="s">
        <v>21</v>
      </c>
      <c r="B97">
        <v>2026</v>
      </c>
      <c r="C97" t="s">
        <v>6</v>
      </c>
      <c r="D97" t="s">
        <v>15</v>
      </c>
    </row>
    <row r="98" spans="1:5" x14ac:dyDescent="0.3">
      <c r="A98" t="s">
        <v>21</v>
      </c>
      <c r="B98">
        <v>2025</v>
      </c>
      <c r="C98" t="s">
        <v>6</v>
      </c>
      <c r="D98" t="s">
        <v>16</v>
      </c>
      <c r="E98">
        <v>1086631.6399999997</v>
      </c>
    </row>
    <row r="99" spans="1:5" x14ac:dyDescent="0.3">
      <c r="A99" t="s">
        <v>21</v>
      </c>
      <c r="B99">
        <v>2026</v>
      </c>
      <c r="C99" t="s">
        <v>8</v>
      </c>
      <c r="D99" t="s">
        <v>16</v>
      </c>
      <c r="E99">
        <v>1420890</v>
      </c>
    </row>
    <row r="100" spans="1:5" x14ac:dyDescent="0.3">
      <c r="A100" t="s">
        <v>21</v>
      </c>
      <c r="B100">
        <v>2026</v>
      </c>
      <c r="C100" t="s">
        <v>6</v>
      </c>
      <c r="D100" t="s">
        <v>16</v>
      </c>
    </row>
    <row r="101" spans="1:5" x14ac:dyDescent="0.3">
      <c r="A101" t="s">
        <v>21</v>
      </c>
      <c r="B101">
        <v>2025</v>
      </c>
      <c r="C101" t="s">
        <v>6</v>
      </c>
      <c r="D101" t="s">
        <v>17</v>
      </c>
      <c r="E101">
        <v>1224896.24</v>
      </c>
    </row>
    <row r="102" spans="1:5" x14ac:dyDescent="0.3">
      <c r="A102" t="s">
        <v>21</v>
      </c>
      <c r="B102">
        <v>2026</v>
      </c>
      <c r="C102" t="s">
        <v>8</v>
      </c>
      <c r="D102" t="s">
        <v>17</v>
      </c>
      <c r="E102">
        <v>1346884</v>
      </c>
    </row>
    <row r="103" spans="1:5" x14ac:dyDescent="0.3">
      <c r="A103" t="s">
        <v>21</v>
      </c>
      <c r="B103">
        <v>2026</v>
      </c>
      <c r="C103" t="s">
        <v>6</v>
      </c>
      <c r="D103" t="s">
        <v>17</v>
      </c>
    </row>
    <row r="104" spans="1:5" x14ac:dyDescent="0.3">
      <c r="A104" t="s">
        <v>21</v>
      </c>
      <c r="B104">
        <v>2025</v>
      </c>
      <c r="C104" t="s">
        <v>6</v>
      </c>
      <c r="D104" t="s">
        <v>18</v>
      </c>
      <c r="E104">
        <v>944428.09</v>
      </c>
    </row>
    <row r="105" spans="1:5" x14ac:dyDescent="0.3">
      <c r="A105" t="s">
        <v>21</v>
      </c>
      <c r="B105">
        <v>2026</v>
      </c>
      <c r="C105" t="s">
        <v>8</v>
      </c>
      <c r="D105" t="s">
        <v>18</v>
      </c>
      <c r="E105">
        <v>1489354</v>
      </c>
    </row>
    <row r="106" spans="1:5" x14ac:dyDescent="0.3">
      <c r="A106" t="s">
        <v>21</v>
      </c>
      <c r="B106">
        <v>2026</v>
      </c>
      <c r="C106" t="s">
        <v>6</v>
      </c>
      <c r="D106" t="s">
        <v>18</v>
      </c>
    </row>
    <row r="107" spans="1:5" x14ac:dyDescent="0.3">
      <c r="A107" t="s">
        <v>21</v>
      </c>
      <c r="B107">
        <v>2025</v>
      </c>
      <c r="C107" t="s">
        <v>6</v>
      </c>
      <c r="D107" t="s">
        <v>19</v>
      </c>
      <c r="E107">
        <v>922559.33000000007</v>
      </c>
    </row>
    <row r="108" spans="1:5" x14ac:dyDescent="0.3">
      <c r="A108" t="s">
        <v>21</v>
      </c>
      <c r="B108">
        <v>2026</v>
      </c>
      <c r="C108" t="s">
        <v>8</v>
      </c>
      <c r="D108" t="s">
        <v>19</v>
      </c>
      <c r="E108">
        <v>1870731</v>
      </c>
    </row>
    <row r="109" spans="1:5" x14ac:dyDescent="0.3">
      <c r="A109" t="s">
        <v>21</v>
      </c>
      <c r="B109">
        <v>2026</v>
      </c>
      <c r="C109" t="s">
        <v>6</v>
      </c>
      <c r="D109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2B95-B16C-4434-AB89-823903A58A62}">
  <dimension ref="A1:T17"/>
  <sheetViews>
    <sheetView topLeftCell="D1" workbookViewId="0">
      <selection activeCell="K8" sqref="K8"/>
    </sheetView>
  </sheetViews>
  <sheetFormatPr baseColWidth="10" defaultRowHeight="14.4" x14ac:dyDescent="0.3"/>
  <cols>
    <col min="1" max="1" width="21.77734375" bestFit="1" customWidth="1"/>
    <col min="2" max="2" width="14.5546875" bestFit="1" customWidth="1"/>
    <col min="4" max="4" width="21.77734375" bestFit="1" customWidth="1"/>
    <col min="5" max="5" width="14.5546875" bestFit="1" customWidth="1"/>
    <col min="7" max="7" width="16.5546875" bestFit="1" customWidth="1"/>
    <col min="8" max="8" width="14.5546875" bestFit="1" customWidth="1"/>
    <col min="10" max="10" width="16.5546875" bestFit="1" customWidth="1"/>
    <col min="11" max="11" width="14.5546875" bestFit="1" customWidth="1"/>
    <col min="13" max="13" width="16.5546875" bestFit="1" customWidth="1"/>
    <col min="14" max="14" width="14.5546875" bestFit="1" customWidth="1"/>
    <col min="16" max="16" width="16.5546875" bestFit="1" customWidth="1"/>
    <col min="17" max="17" width="14.5546875" bestFit="1" customWidth="1"/>
    <col min="19" max="19" width="16.5546875" bestFit="1" customWidth="1"/>
    <col min="20" max="20" width="14.5546875" bestFit="1" customWidth="1"/>
  </cols>
  <sheetData>
    <row r="1" spans="1:20" x14ac:dyDescent="0.3">
      <c r="A1" s="2" t="s">
        <v>1</v>
      </c>
      <c r="B1" s="3">
        <v>2026</v>
      </c>
      <c r="D1" s="2" t="s">
        <v>1</v>
      </c>
      <c r="E1" s="3">
        <v>2026</v>
      </c>
      <c r="G1" s="2" t="s">
        <v>1</v>
      </c>
      <c r="H1" s="3">
        <v>2026</v>
      </c>
      <c r="J1" s="2" t="s">
        <v>1</v>
      </c>
      <c r="K1" s="3">
        <v>2026</v>
      </c>
      <c r="M1" s="2" t="s">
        <v>1</v>
      </c>
      <c r="N1" s="3">
        <v>2025</v>
      </c>
      <c r="P1" s="2" t="s">
        <v>1</v>
      </c>
      <c r="Q1" s="3">
        <v>2026</v>
      </c>
      <c r="S1" s="2" t="s">
        <v>1</v>
      </c>
      <c r="T1" s="3">
        <v>2025</v>
      </c>
    </row>
    <row r="2" spans="1:20" x14ac:dyDescent="0.3">
      <c r="A2" s="2" t="s">
        <v>2</v>
      </c>
      <c r="B2" t="s">
        <v>8</v>
      </c>
      <c r="D2" s="2" t="s">
        <v>2</v>
      </c>
      <c r="E2" t="s">
        <v>6</v>
      </c>
      <c r="G2" s="2" t="s">
        <v>2</v>
      </c>
      <c r="H2" t="s">
        <v>8</v>
      </c>
      <c r="J2" s="2" t="s">
        <v>2</v>
      </c>
      <c r="K2" t="s">
        <v>6</v>
      </c>
      <c r="M2" s="2" t="s">
        <v>2</v>
      </c>
      <c r="N2" t="s">
        <v>6</v>
      </c>
      <c r="P2" s="2" t="s">
        <v>2</v>
      </c>
      <c r="Q2" t="s">
        <v>6</v>
      </c>
      <c r="S2" s="2" t="s">
        <v>2</v>
      </c>
      <c r="T2" t="s">
        <v>6</v>
      </c>
    </row>
    <row r="4" spans="1:20" x14ac:dyDescent="0.3">
      <c r="A4" s="2" t="s">
        <v>22</v>
      </c>
      <c r="B4" t="s">
        <v>23</v>
      </c>
      <c r="D4" s="2" t="s">
        <v>22</v>
      </c>
      <c r="E4" t="s">
        <v>23</v>
      </c>
      <c r="G4" s="2" t="s">
        <v>22</v>
      </c>
      <c r="H4" t="s">
        <v>23</v>
      </c>
      <c r="J4" s="2" t="s">
        <v>22</v>
      </c>
      <c r="K4" t="s">
        <v>23</v>
      </c>
      <c r="M4" s="2" t="s">
        <v>22</v>
      </c>
      <c r="N4" t="s">
        <v>23</v>
      </c>
      <c r="P4" s="2" t="s">
        <v>22</v>
      </c>
      <c r="Q4" t="s">
        <v>23</v>
      </c>
      <c r="S4" s="2" t="s">
        <v>22</v>
      </c>
      <c r="T4" t="s">
        <v>23</v>
      </c>
    </row>
    <row r="5" spans="1:20" x14ac:dyDescent="0.3">
      <c r="A5" s="3" t="s">
        <v>21</v>
      </c>
      <c r="B5">
        <v>2116469.9500000002</v>
      </c>
      <c r="D5" s="3" t="s">
        <v>21</v>
      </c>
      <c r="E5">
        <v>1475048.25</v>
      </c>
      <c r="G5" s="3" t="s">
        <v>7</v>
      </c>
      <c r="H5">
        <v>1922414</v>
      </c>
      <c r="J5" s="3" t="s">
        <v>7</v>
      </c>
      <c r="K5">
        <v>1221260.0999999996</v>
      </c>
      <c r="M5" s="3" t="s">
        <v>7</v>
      </c>
      <c r="N5">
        <v>1475128.9099999992</v>
      </c>
      <c r="P5" s="3" t="s">
        <v>10</v>
      </c>
      <c r="Q5">
        <v>1475048.25</v>
      </c>
      <c r="S5" s="3" t="s">
        <v>10</v>
      </c>
      <c r="T5">
        <v>1404391.4499999995</v>
      </c>
    </row>
    <row r="6" spans="1:20" x14ac:dyDescent="0.3">
      <c r="A6" s="3" t="s">
        <v>24</v>
      </c>
      <c r="B6">
        <v>2116469.9500000002</v>
      </c>
      <c r="D6" s="3" t="s">
        <v>24</v>
      </c>
      <c r="E6">
        <v>1475048.25</v>
      </c>
      <c r="G6" s="3" t="s">
        <v>9</v>
      </c>
      <c r="H6">
        <v>1901092</v>
      </c>
      <c r="J6" s="3" t="s">
        <v>9</v>
      </c>
      <c r="K6">
        <v>1314435.9599999997</v>
      </c>
      <c r="M6" s="3" t="s">
        <v>9</v>
      </c>
      <c r="N6">
        <v>1282644.0499999996</v>
      </c>
      <c r="P6" s="3" t="s">
        <v>24</v>
      </c>
      <c r="Q6">
        <v>1475048.25</v>
      </c>
      <c r="S6" s="3" t="s">
        <v>24</v>
      </c>
      <c r="T6">
        <v>1404391.4499999995</v>
      </c>
    </row>
    <row r="7" spans="1:20" x14ac:dyDescent="0.3">
      <c r="G7" s="3" t="s">
        <v>10</v>
      </c>
      <c r="H7">
        <v>2116469.9500000002</v>
      </c>
      <c r="J7" s="3" t="s">
        <v>10</v>
      </c>
      <c r="K7">
        <v>1475048.25</v>
      </c>
      <c r="M7" s="3" t="s">
        <v>10</v>
      </c>
      <c r="N7">
        <v>1404391.4499999995</v>
      </c>
    </row>
    <row r="8" spans="1:20" x14ac:dyDescent="0.3">
      <c r="G8" s="3" t="s">
        <v>11</v>
      </c>
      <c r="H8">
        <v>2041821</v>
      </c>
      <c r="J8" s="3" t="s">
        <v>11</v>
      </c>
      <c r="M8" s="3" t="s">
        <v>11</v>
      </c>
      <c r="N8">
        <v>1506428.73</v>
      </c>
    </row>
    <row r="9" spans="1:20" x14ac:dyDescent="0.3">
      <c r="G9" s="3" t="s">
        <v>12</v>
      </c>
      <c r="H9">
        <v>2107918</v>
      </c>
      <c r="J9" s="3" t="s">
        <v>12</v>
      </c>
      <c r="M9" s="3" t="s">
        <v>12</v>
      </c>
      <c r="N9">
        <v>1796601.6300000004</v>
      </c>
    </row>
    <row r="10" spans="1:20" x14ac:dyDescent="0.3">
      <c r="G10" s="3" t="s">
        <v>13</v>
      </c>
      <c r="H10">
        <v>1859459</v>
      </c>
      <c r="J10" s="3" t="s">
        <v>13</v>
      </c>
      <c r="M10" s="3" t="s">
        <v>13</v>
      </c>
      <c r="N10">
        <v>1350865</v>
      </c>
    </row>
    <row r="11" spans="1:20" x14ac:dyDescent="0.3">
      <c r="G11" s="3" t="s">
        <v>14</v>
      </c>
      <c r="H11">
        <v>1716089</v>
      </c>
      <c r="J11" s="3" t="s">
        <v>14</v>
      </c>
      <c r="M11" s="3" t="s">
        <v>14</v>
      </c>
      <c r="N11">
        <v>1351927.41</v>
      </c>
    </row>
    <row r="12" spans="1:20" x14ac:dyDescent="0.3">
      <c r="G12" s="3" t="s">
        <v>15</v>
      </c>
      <c r="H12">
        <v>1677671</v>
      </c>
      <c r="J12" s="3" t="s">
        <v>15</v>
      </c>
      <c r="M12" s="3" t="s">
        <v>15</v>
      </c>
      <c r="N12">
        <v>1179118.4799999997</v>
      </c>
    </row>
    <row r="13" spans="1:20" x14ac:dyDescent="0.3">
      <c r="G13" s="3" t="s">
        <v>16</v>
      </c>
      <c r="H13">
        <v>1420890</v>
      </c>
      <c r="J13" s="3" t="s">
        <v>16</v>
      </c>
      <c r="M13" s="3" t="s">
        <v>16</v>
      </c>
      <c r="N13">
        <v>1086631.6399999997</v>
      </c>
    </row>
    <row r="14" spans="1:20" x14ac:dyDescent="0.3">
      <c r="G14" s="3" t="s">
        <v>17</v>
      </c>
      <c r="H14">
        <v>1346884</v>
      </c>
      <c r="J14" s="3" t="s">
        <v>17</v>
      </c>
      <c r="M14" s="3" t="s">
        <v>17</v>
      </c>
      <c r="N14">
        <v>1224896.24</v>
      </c>
    </row>
    <row r="15" spans="1:20" x14ac:dyDescent="0.3">
      <c r="G15" s="3" t="s">
        <v>18</v>
      </c>
      <c r="H15">
        <v>1489354</v>
      </c>
      <c r="J15" s="3" t="s">
        <v>18</v>
      </c>
      <c r="M15" s="3" t="s">
        <v>18</v>
      </c>
      <c r="N15">
        <v>944428.09</v>
      </c>
    </row>
    <row r="16" spans="1:20" x14ac:dyDescent="0.3">
      <c r="G16" s="3" t="s">
        <v>19</v>
      </c>
      <c r="H16">
        <v>1870731</v>
      </c>
      <c r="J16" s="3" t="s">
        <v>19</v>
      </c>
      <c r="M16" s="3" t="s">
        <v>19</v>
      </c>
      <c r="N16">
        <v>922559.33000000007</v>
      </c>
    </row>
    <row r="17" spans="7:14" x14ac:dyDescent="0.3">
      <c r="G17" s="3" t="s">
        <v>24</v>
      </c>
      <c r="H17">
        <v>21470792.949999999</v>
      </c>
      <c r="J17" s="3" t="s">
        <v>24</v>
      </c>
      <c r="K17">
        <v>4010744.3099999996</v>
      </c>
      <c r="M17" s="3" t="s">
        <v>24</v>
      </c>
      <c r="N17">
        <v>15525620.960000001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0702-C5D6-4930-9B13-E5D041EC4132}">
  <dimension ref="A1:H75"/>
  <sheetViews>
    <sheetView topLeftCell="A52" zoomScale="76" workbookViewId="0">
      <selection activeCell="C31" sqref="C31"/>
    </sheetView>
  </sheetViews>
  <sheetFormatPr baseColWidth="10" defaultColWidth="11.44140625" defaultRowHeight="14.4" x14ac:dyDescent="0.3"/>
  <cols>
    <col min="1" max="1" width="17.44140625" bestFit="1" customWidth="1"/>
    <col min="2" max="2" width="27.6640625" bestFit="1" customWidth="1"/>
    <col min="3" max="3" width="16.21875" style="4" bestFit="1" customWidth="1"/>
    <col min="4" max="4" width="14.109375" bestFit="1" customWidth="1"/>
    <col min="6" max="6" width="12.33203125" bestFit="1" customWidth="1"/>
    <col min="7" max="8" width="14.109375" bestFit="1" customWidth="1"/>
  </cols>
  <sheetData>
    <row r="1" spans="1:8" x14ac:dyDescent="0.3">
      <c r="B1" t="s">
        <v>25</v>
      </c>
      <c r="C1" s="4">
        <f>GETPIVOTDATA("Monto",Analisis2!$A$4)</f>
        <v>2116469.9500000002</v>
      </c>
    </row>
    <row r="2" spans="1:8" x14ac:dyDescent="0.3">
      <c r="B2" t="s">
        <v>26</v>
      </c>
      <c r="C2" s="4">
        <f>GETPIVOTDATA("Monto",Analisis2!$D$4)</f>
        <v>1475048.25</v>
      </c>
    </row>
    <row r="3" spans="1:8" x14ac:dyDescent="0.3">
      <c r="C3" s="5">
        <f>IFERROR(((C1-C2)/C1),0)</f>
        <v>0.30306203969491752</v>
      </c>
      <c r="D3" s="6">
        <f>IF(C3=0,0,1-C3)</f>
        <v>0.69693796030508248</v>
      </c>
    </row>
    <row r="4" spans="1:8" x14ac:dyDescent="0.3">
      <c r="B4" t="s">
        <v>27</v>
      </c>
      <c r="C4" s="4">
        <f>C2-C1</f>
        <v>-641421.70000000019</v>
      </c>
    </row>
    <row r="5" spans="1:8" x14ac:dyDescent="0.3">
      <c r="A5" s="10" t="s">
        <v>25</v>
      </c>
      <c r="B5" t="s">
        <v>7</v>
      </c>
      <c r="C5" s="4">
        <f>_xlfn.XLOOKUP(B5,Analisis2!G:G,Analisis2!H:H,"")</f>
        <v>1922414</v>
      </c>
      <c r="G5" s="4"/>
      <c r="H5" s="4"/>
    </row>
    <row r="6" spans="1:8" x14ac:dyDescent="0.3">
      <c r="A6" s="10"/>
      <c r="B6" t="s">
        <v>9</v>
      </c>
      <c r="C6" s="4">
        <f>_xlfn.XLOOKUP(B6,Analisis2!G:G,Analisis2!H:H,"")</f>
        <v>1901092</v>
      </c>
      <c r="G6" s="4"/>
      <c r="H6" s="4"/>
    </row>
    <row r="7" spans="1:8" x14ac:dyDescent="0.3">
      <c r="A7" s="10"/>
      <c r="B7" t="s">
        <v>10</v>
      </c>
      <c r="C7" s="4">
        <f>_xlfn.XLOOKUP(B7,Analisis2!G:G,Analisis2!H:H,"")</f>
        <v>2116469.9500000002</v>
      </c>
      <c r="G7" s="4"/>
      <c r="H7" s="4"/>
    </row>
    <row r="8" spans="1:8" x14ac:dyDescent="0.3">
      <c r="A8" s="10"/>
      <c r="B8" t="s">
        <v>11</v>
      </c>
      <c r="C8" s="4">
        <f>_xlfn.XLOOKUP(B8,Analisis2!G:G,Analisis2!H:H,"")</f>
        <v>2041821</v>
      </c>
      <c r="G8" s="4"/>
      <c r="H8" s="4"/>
    </row>
    <row r="9" spans="1:8" x14ac:dyDescent="0.3">
      <c r="A9" s="10"/>
      <c r="B9" t="s">
        <v>12</v>
      </c>
      <c r="C9" s="4">
        <f>_xlfn.XLOOKUP(B9,Analisis2!G:G,Analisis2!H:H,"")</f>
        <v>2107918</v>
      </c>
      <c r="G9" s="4"/>
      <c r="H9" s="4"/>
    </row>
    <row r="10" spans="1:8" x14ac:dyDescent="0.3">
      <c r="A10" s="10"/>
      <c r="B10" t="s">
        <v>13</v>
      </c>
      <c r="C10" s="4">
        <f>_xlfn.XLOOKUP(B10,Analisis2!G:G,Analisis2!H:H,"")</f>
        <v>1859459</v>
      </c>
      <c r="G10" s="4"/>
      <c r="H10" s="4"/>
    </row>
    <row r="11" spans="1:8" x14ac:dyDescent="0.3">
      <c r="A11" s="10"/>
      <c r="B11" t="s">
        <v>14</v>
      </c>
      <c r="C11" s="4">
        <f>_xlfn.XLOOKUP(B11,Analisis2!G:G,Analisis2!H:H,"")</f>
        <v>1716089</v>
      </c>
      <c r="G11" s="4"/>
      <c r="H11" s="4"/>
    </row>
    <row r="12" spans="1:8" x14ac:dyDescent="0.3">
      <c r="A12" s="10"/>
      <c r="B12" t="s">
        <v>15</v>
      </c>
      <c r="C12" s="4">
        <f>_xlfn.XLOOKUP(B12,Analisis2!G:G,Analisis2!H:H,"")</f>
        <v>1677671</v>
      </c>
      <c r="G12" s="4"/>
      <c r="H12" s="4"/>
    </row>
    <row r="13" spans="1:8" x14ac:dyDescent="0.3">
      <c r="A13" s="10"/>
      <c r="B13" t="s">
        <v>16</v>
      </c>
      <c r="C13" s="4">
        <f>_xlfn.XLOOKUP(B13,Analisis2!G:G,Analisis2!H:H,"")</f>
        <v>1420890</v>
      </c>
      <c r="G13" s="4"/>
      <c r="H13" s="4"/>
    </row>
    <row r="14" spans="1:8" x14ac:dyDescent="0.3">
      <c r="A14" s="10"/>
      <c r="B14" t="s">
        <v>17</v>
      </c>
      <c r="C14" s="4">
        <f>_xlfn.XLOOKUP(B14,Analisis2!G:G,Analisis2!H:H,"")</f>
        <v>1346884</v>
      </c>
      <c r="G14" s="4"/>
      <c r="H14" s="4"/>
    </row>
    <row r="15" spans="1:8" x14ac:dyDescent="0.3">
      <c r="A15" s="10"/>
      <c r="B15" t="s">
        <v>18</v>
      </c>
      <c r="C15" s="4">
        <f>_xlfn.XLOOKUP(B15,Analisis2!G:G,Analisis2!H:H,"")</f>
        <v>1489354</v>
      </c>
      <c r="G15" s="4"/>
      <c r="H15" s="4"/>
    </row>
    <row r="16" spans="1:8" x14ac:dyDescent="0.3">
      <c r="A16" s="10"/>
      <c r="B16" t="s">
        <v>19</v>
      </c>
      <c r="C16" s="4">
        <f>_xlfn.XLOOKUP(B16,Analisis2!G:G,Analisis2!H:H,"")</f>
        <v>1870731</v>
      </c>
      <c r="G16" s="4"/>
      <c r="H16" s="4"/>
    </row>
    <row r="17" spans="1:6" x14ac:dyDescent="0.3">
      <c r="A17" s="10" t="s">
        <v>26</v>
      </c>
      <c r="B17" t="s">
        <v>7</v>
      </c>
      <c r="C17" s="4">
        <f>_xlfn.XLOOKUP(B17,Analisis2!J:J,Analisis2!K:K,"")</f>
        <v>1221260.0999999996</v>
      </c>
    </row>
    <row r="18" spans="1:6" x14ac:dyDescent="0.3">
      <c r="A18" s="10"/>
      <c r="B18" t="s">
        <v>9</v>
      </c>
      <c r="C18" s="4">
        <f>_xlfn.XLOOKUP(B18,Analisis2!J:J,Analisis2!K:K,"")</f>
        <v>1314435.9599999997</v>
      </c>
    </row>
    <row r="19" spans="1:6" x14ac:dyDescent="0.3">
      <c r="A19" s="10"/>
      <c r="B19" t="s">
        <v>10</v>
      </c>
      <c r="C19" s="4">
        <f>_xlfn.XLOOKUP(B19,Analisis2!J:J,Analisis2!K:K,"")</f>
        <v>1475048.25</v>
      </c>
    </row>
    <row r="20" spans="1:6" x14ac:dyDescent="0.3">
      <c r="A20" s="10"/>
      <c r="B20" t="s">
        <v>11</v>
      </c>
      <c r="C20" s="4">
        <f>_xlfn.XLOOKUP(B20,Analisis2!J:J,Analisis2!K:K,"")</f>
        <v>0</v>
      </c>
    </row>
    <row r="21" spans="1:6" x14ac:dyDescent="0.3">
      <c r="A21" s="10"/>
      <c r="B21" t="s">
        <v>12</v>
      </c>
      <c r="C21" s="4">
        <f>_xlfn.XLOOKUP(B21,Analisis2!J:J,Analisis2!K:K,"")</f>
        <v>0</v>
      </c>
    </row>
    <row r="22" spans="1:6" x14ac:dyDescent="0.3">
      <c r="A22" s="10"/>
      <c r="B22" t="s">
        <v>13</v>
      </c>
      <c r="C22" s="4">
        <f>_xlfn.XLOOKUP(B22,Analisis2!J:J,Analisis2!K:K,"")</f>
        <v>0</v>
      </c>
    </row>
    <row r="23" spans="1:6" x14ac:dyDescent="0.3">
      <c r="A23" s="10"/>
      <c r="B23" t="s">
        <v>14</v>
      </c>
      <c r="C23" s="4">
        <f>_xlfn.XLOOKUP(B23,Analisis2!J:J,Analisis2!K:K,"")</f>
        <v>0</v>
      </c>
    </row>
    <row r="24" spans="1:6" x14ac:dyDescent="0.3">
      <c r="A24" s="10"/>
      <c r="B24" t="s">
        <v>15</v>
      </c>
      <c r="C24" s="4">
        <f>_xlfn.XLOOKUP(B24,Analisis2!J:J,Analisis2!K:K,"")</f>
        <v>0</v>
      </c>
    </row>
    <row r="25" spans="1:6" x14ac:dyDescent="0.3">
      <c r="A25" s="10"/>
      <c r="B25" t="s">
        <v>16</v>
      </c>
      <c r="C25" s="4">
        <f>_xlfn.XLOOKUP(B25,Analisis2!J:J,Analisis2!K:K,"")</f>
        <v>0</v>
      </c>
    </row>
    <row r="26" spans="1:6" x14ac:dyDescent="0.3">
      <c r="A26" s="10"/>
      <c r="B26" t="s">
        <v>17</v>
      </c>
      <c r="C26" s="4">
        <f>_xlfn.XLOOKUP(B26,Analisis2!J:J,Analisis2!K:K,"")</f>
        <v>0</v>
      </c>
    </row>
    <row r="27" spans="1:6" x14ac:dyDescent="0.3">
      <c r="A27" s="10"/>
      <c r="B27" t="s">
        <v>18</v>
      </c>
      <c r="C27" s="4">
        <f>_xlfn.XLOOKUP(B27,Analisis2!J:J,Analisis2!K:K,"")</f>
        <v>0</v>
      </c>
    </row>
    <row r="28" spans="1:6" x14ac:dyDescent="0.3">
      <c r="A28" s="10"/>
      <c r="B28" t="s">
        <v>19</v>
      </c>
      <c r="C28" s="4">
        <f>_xlfn.XLOOKUP(B28,Analisis2!J:J,Analisis2!K:K,"")</f>
        <v>0</v>
      </c>
    </row>
    <row r="29" spans="1:6" x14ac:dyDescent="0.3">
      <c r="A29" s="10" t="s">
        <v>28</v>
      </c>
      <c r="B29" t="s">
        <v>7</v>
      </c>
      <c r="C29" s="4">
        <f>IF(C17=0,0,C17-C5)</f>
        <v>-701153.90000000037</v>
      </c>
      <c r="F29" s="4"/>
    </row>
    <row r="30" spans="1:6" x14ac:dyDescent="0.3">
      <c r="A30" s="10"/>
      <c r="B30" t="s">
        <v>9</v>
      </c>
      <c r="C30" s="4">
        <f t="shared" ref="C30:C40" si="0">IF(C18=0,0,C18-C6)</f>
        <v>-586656.04000000027</v>
      </c>
    </row>
    <row r="31" spans="1:6" x14ac:dyDescent="0.3">
      <c r="A31" s="10"/>
      <c r="B31" t="s">
        <v>10</v>
      </c>
      <c r="C31" s="4">
        <f t="shared" si="0"/>
        <v>-641421.70000000019</v>
      </c>
    </row>
    <row r="32" spans="1:6" x14ac:dyDescent="0.3">
      <c r="A32" s="10"/>
      <c r="B32" t="s">
        <v>11</v>
      </c>
      <c r="C32" s="4">
        <f t="shared" si="0"/>
        <v>0</v>
      </c>
    </row>
    <row r="33" spans="1:3" x14ac:dyDescent="0.3">
      <c r="A33" s="10"/>
      <c r="B33" t="s">
        <v>12</v>
      </c>
      <c r="C33" s="4">
        <f t="shared" si="0"/>
        <v>0</v>
      </c>
    </row>
    <row r="34" spans="1:3" x14ac:dyDescent="0.3">
      <c r="A34" s="10"/>
      <c r="B34" t="s">
        <v>13</v>
      </c>
      <c r="C34" s="4">
        <f t="shared" si="0"/>
        <v>0</v>
      </c>
    </row>
    <row r="35" spans="1:3" x14ac:dyDescent="0.3">
      <c r="A35" s="10"/>
      <c r="B35" t="s">
        <v>14</v>
      </c>
      <c r="C35" s="4">
        <f t="shared" si="0"/>
        <v>0</v>
      </c>
    </row>
    <row r="36" spans="1:3" x14ac:dyDescent="0.3">
      <c r="A36" s="10"/>
      <c r="B36" t="s">
        <v>15</v>
      </c>
      <c r="C36" s="4">
        <f t="shared" si="0"/>
        <v>0</v>
      </c>
    </row>
    <row r="37" spans="1:3" x14ac:dyDescent="0.3">
      <c r="A37" s="10"/>
      <c r="B37" t="s">
        <v>16</v>
      </c>
      <c r="C37" s="4">
        <f t="shared" si="0"/>
        <v>0</v>
      </c>
    </row>
    <row r="38" spans="1:3" x14ac:dyDescent="0.3">
      <c r="A38" s="10"/>
      <c r="B38" t="s">
        <v>17</v>
      </c>
      <c r="C38" s="4">
        <f t="shared" si="0"/>
        <v>0</v>
      </c>
    </row>
    <row r="39" spans="1:3" x14ac:dyDescent="0.3">
      <c r="A39" s="10"/>
      <c r="B39" t="s">
        <v>18</v>
      </c>
      <c r="C39" s="4">
        <f t="shared" si="0"/>
        <v>0</v>
      </c>
    </row>
    <row r="40" spans="1:3" x14ac:dyDescent="0.3">
      <c r="A40" s="10"/>
      <c r="B40" t="s">
        <v>19</v>
      </c>
      <c r="C40" s="4">
        <f t="shared" si="0"/>
        <v>0</v>
      </c>
    </row>
    <row r="41" spans="1:3" x14ac:dyDescent="0.3">
      <c r="B41" t="s">
        <v>29</v>
      </c>
      <c r="C41" s="4" t="str">
        <f>INDEX(B29:B40,MATCH(MIN(C29:C40),C29:C40,0))</f>
        <v>Enero</v>
      </c>
    </row>
    <row r="42" spans="1:3" x14ac:dyDescent="0.3">
      <c r="B42" t="s">
        <v>29</v>
      </c>
      <c r="C42" s="4">
        <f>MIN(C29:C40)</f>
        <v>-701153.90000000037</v>
      </c>
    </row>
    <row r="43" spans="1:3" x14ac:dyDescent="0.3">
      <c r="B43" t="s">
        <v>30</v>
      </c>
      <c r="C43" s="4" t="str">
        <f>INDEX(B29:B40,MATCH(MAX(C29:C40),C29:C40,0))</f>
        <v>Abril</v>
      </c>
    </row>
    <row r="44" spans="1:3" x14ac:dyDescent="0.3">
      <c r="B44" t="s">
        <v>30</v>
      </c>
      <c r="C44" s="4">
        <f>MAX(C29:C40)</f>
        <v>0</v>
      </c>
    </row>
    <row r="45" spans="1:3" x14ac:dyDescent="0.3">
      <c r="B45" t="s">
        <v>31</v>
      </c>
      <c r="C45" s="4">
        <f>C2-C1</f>
        <v>-641421.70000000019</v>
      </c>
    </row>
    <row r="46" spans="1:3" x14ac:dyDescent="0.3">
      <c r="A46" s="10" t="s">
        <v>32</v>
      </c>
      <c r="B46" t="s">
        <v>7</v>
      </c>
      <c r="C46" s="4">
        <f>_xlfn.XLOOKUP(B46,Analisis2!M:M,Analisis2!N:N,"")</f>
        <v>1475128.9099999992</v>
      </c>
    </row>
    <row r="47" spans="1:3" x14ac:dyDescent="0.3">
      <c r="A47" s="10"/>
      <c r="B47" t="s">
        <v>9</v>
      </c>
      <c r="C47" s="4">
        <f>_xlfn.XLOOKUP(B47,Analisis2!M:M,Analisis2!N:N,"")</f>
        <v>1282644.0499999996</v>
      </c>
    </row>
    <row r="48" spans="1:3" x14ac:dyDescent="0.3">
      <c r="A48" s="10"/>
      <c r="B48" t="s">
        <v>10</v>
      </c>
      <c r="C48" s="4">
        <f>_xlfn.XLOOKUP(B48,Analisis2!M:M,Analisis2!N:N,"")</f>
        <v>1404391.4499999995</v>
      </c>
    </row>
    <row r="49" spans="1:4" x14ac:dyDescent="0.3">
      <c r="A49" s="10"/>
      <c r="B49" t="s">
        <v>11</v>
      </c>
      <c r="C49" s="4">
        <f>_xlfn.XLOOKUP(B49,Analisis2!M:M,Analisis2!N:N,"")</f>
        <v>1506428.73</v>
      </c>
    </row>
    <row r="50" spans="1:4" x14ac:dyDescent="0.3">
      <c r="A50" s="10"/>
      <c r="B50" t="s">
        <v>12</v>
      </c>
      <c r="C50" s="4">
        <f>_xlfn.XLOOKUP(B50,Analisis2!M:M,Analisis2!N:N,"")</f>
        <v>1796601.6300000004</v>
      </c>
    </row>
    <row r="51" spans="1:4" x14ac:dyDescent="0.3">
      <c r="A51" s="10"/>
      <c r="B51" t="s">
        <v>13</v>
      </c>
      <c r="C51" s="4">
        <f>_xlfn.XLOOKUP(B51,Analisis2!M:M,Analisis2!N:N,"")</f>
        <v>1350865</v>
      </c>
    </row>
    <row r="52" spans="1:4" x14ac:dyDescent="0.3">
      <c r="A52" s="10"/>
      <c r="B52" t="s">
        <v>14</v>
      </c>
      <c r="C52" s="4">
        <f>_xlfn.XLOOKUP(B52,Analisis2!M:M,Analisis2!N:N,"")</f>
        <v>1351927.41</v>
      </c>
    </row>
    <row r="53" spans="1:4" x14ac:dyDescent="0.3">
      <c r="A53" s="10"/>
      <c r="B53" t="s">
        <v>15</v>
      </c>
      <c r="C53" s="4">
        <f>_xlfn.XLOOKUP(B53,Analisis2!M:M,Analisis2!N:N,"")</f>
        <v>1179118.4799999997</v>
      </c>
    </row>
    <row r="54" spans="1:4" x14ac:dyDescent="0.3">
      <c r="A54" s="10"/>
      <c r="B54" t="s">
        <v>16</v>
      </c>
      <c r="C54" s="4">
        <f>_xlfn.XLOOKUP(B54,Analisis2!M:M,Analisis2!N:N,"")</f>
        <v>1086631.6399999997</v>
      </c>
    </row>
    <row r="55" spans="1:4" x14ac:dyDescent="0.3">
      <c r="A55" s="10"/>
      <c r="B55" t="s">
        <v>17</v>
      </c>
      <c r="C55" s="4">
        <f>_xlfn.XLOOKUP(B55,Analisis2!M:M,Analisis2!N:N,"")</f>
        <v>1224896.24</v>
      </c>
    </row>
    <row r="56" spans="1:4" x14ac:dyDescent="0.3">
      <c r="A56" s="10"/>
      <c r="B56" t="s">
        <v>18</v>
      </c>
      <c r="C56" s="4">
        <f>_xlfn.XLOOKUP(B56,Analisis2!M:M,Analisis2!N:N,"")</f>
        <v>944428.09</v>
      </c>
    </row>
    <row r="57" spans="1:4" x14ac:dyDescent="0.3">
      <c r="A57" s="10"/>
      <c r="B57" t="s">
        <v>19</v>
      </c>
      <c r="C57" s="4">
        <f>_xlfn.XLOOKUP(B57,Analisis2!M:M,Analisis2!N:N,"")</f>
        <v>922559.33000000007</v>
      </c>
    </row>
    <row r="58" spans="1:4" x14ac:dyDescent="0.3">
      <c r="B58" t="s">
        <v>32</v>
      </c>
      <c r="C58" s="4">
        <f>GETPIVOTDATA("Monto",Analisis2!$M$4)</f>
        <v>15525620.960000001</v>
      </c>
    </row>
    <row r="59" spans="1:4" x14ac:dyDescent="0.3">
      <c r="B59" t="s">
        <v>33</v>
      </c>
      <c r="C59" s="7">
        <f>((C74-C75)/C75)</f>
        <v>5.031132879654069E-2</v>
      </c>
      <c r="D59" s="6">
        <f>1-C59</f>
        <v>0.94968867120345934</v>
      </c>
    </row>
    <row r="60" spans="1:4" x14ac:dyDescent="0.3">
      <c r="B60" t="s">
        <v>33</v>
      </c>
      <c r="C60" s="4">
        <f>C74-C75</f>
        <v>70656.800000000512</v>
      </c>
    </row>
    <row r="61" spans="1:4" x14ac:dyDescent="0.3">
      <c r="B61" t="s">
        <v>26</v>
      </c>
      <c r="C61" t="s">
        <v>32</v>
      </c>
    </row>
    <row r="62" spans="1:4" x14ac:dyDescent="0.3">
      <c r="A62" t="s">
        <v>7</v>
      </c>
      <c r="B62" s="4">
        <f t="shared" ref="B62:B73" si="1">C17</f>
        <v>1221260.0999999996</v>
      </c>
      <c r="C62" s="4">
        <f>C46</f>
        <v>1475128.9099999992</v>
      </c>
    </row>
    <row r="63" spans="1:4" x14ac:dyDescent="0.3">
      <c r="A63" t="s">
        <v>9</v>
      </c>
      <c r="B63" s="4">
        <f t="shared" si="1"/>
        <v>1314435.9599999997</v>
      </c>
      <c r="C63" s="4">
        <f t="shared" ref="C63:C72" si="2">C47</f>
        <v>1282644.0499999996</v>
      </c>
    </row>
    <row r="64" spans="1:4" x14ac:dyDescent="0.3">
      <c r="A64" t="s">
        <v>10</v>
      </c>
      <c r="B64" s="4">
        <f t="shared" si="1"/>
        <v>1475048.25</v>
      </c>
      <c r="C64" s="4">
        <f t="shared" si="2"/>
        <v>1404391.4499999995</v>
      </c>
    </row>
    <row r="65" spans="1:3" x14ac:dyDescent="0.3">
      <c r="A65" t="s">
        <v>11</v>
      </c>
      <c r="B65" s="4">
        <f t="shared" si="1"/>
        <v>0</v>
      </c>
      <c r="C65" s="4">
        <f t="shared" si="2"/>
        <v>1506428.73</v>
      </c>
    </row>
    <row r="66" spans="1:3" x14ac:dyDescent="0.3">
      <c r="A66" t="s">
        <v>12</v>
      </c>
      <c r="B66" s="4">
        <f t="shared" si="1"/>
        <v>0</v>
      </c>
      <c r="C66" s="4">
        <f t="shared" si="2"/>
        <v>1796601.6300000004</v>
      </c>
    </row>
    <row r="67" spans="1:3" x14ac:dyDescent="0.3">
      <c r="A67" t="s">
        <v>13</v>
      </c>
      <c r="B67" s="4">
        <f t="shared" si="1"/>
        <v>0</v>
      </c>
      <c r="C67" s="4">
        <f t="shared" si="2"/>
        <v>1350865</v>
      </c>
    </row>
    <row r="68" spans="1:3" x14ac:dyDescent="0.3">
      <c r="A68" t="s">
        <v>14</v>
      </c>
      <c r="B68" s="4">
        <f t="shared" si="1"/>
        <v>0</v>
      </c>
      <c r="C68" s="4">
        <f t="shared" si="2"/>
        <v>1351927.41</v>
      </c>
    </row>
    <row r="69" spans="1:3" x14ac:dyDescent="0.3">
      <c r="A69" t="s">
        <v>15</v>
      </c>
      <c r="B69" s="4">
        <f t="shared" si="1"/>
        <v>0</v>
      </c>
      <c r="C69" s="4">
        <f t="shared" si="2"/>
        <v>1179118.4799999997</v>
      </c>
    </row>
    <row r="70" spans="1:3" x14ac:dyDescent="0.3">
      <c r="A70" t="s">
        <v>16</v>
      </c>
      <c r="B70" s="4">
        <f t="shared" si="1"/>
        <v>0</v>
      </c>
      <c r="C70" s="4">
        <f t="shared" si="2"/>
        <v>1086631.6399999997</v>
      </c>
    </row>
    <row r="71" spans="1:3" x14ac:dyDescent="0.3">
      <c r="A71" t="s">
        <v>17</v>
      </c>
      <c r="B71" s="4">
        <f t="shared" si="1"/>
        <v>0</v>
      </c>
      <c r="C71" s="4">
        <f t="shared" si="2"/>
        <v>1224896.24</v>
      </c>
    </row>
    <row r="72" spans="1:3" x14ac:dyDescent="0.3">
      <c r="A72" t="s">
        <v>18</v>
      </c>
      <c r="B72" s="4">
        <f t="shared" si="1"/>
        <v>0</v>
      </c>
      <c r="C72" s="4">
        <f t="shared" si="2"/>
        <v>944428.09</v>
      </c>
    </row>
    <row r="73" spans="1:3" x14ac:dyDescent="0.3">
      <c r="A73" t="s">
        <v>19</v>
      </c>
      <c r="B73" s="4">
        <f t="shared" si="1"/>
        <v>0</v>
      </c>
      <c r="C73" s="4">
        <f>C57</f>
        <v>922559.33000000007</v>
      </c>
    </row>
    <row r="74" spans="1:3" x14ac:dyDescent="0.3">
      <c r="B74" t="s">
        <v>26</v>
      </c>
      <c r="C74" s="4">
        <f>GETPIVOTDATA("Monto",Analisis2!$P$4)</f>
        <v>1475048.25</v>
      </c>
    </row>
    <row r="75" spans="1:3" x14ac:dyDescent="0.3">
      <c r="B75" t="s">
        <v>32</v>
      </c>
      <c r="C75" s="4">
        <f>GETPIVOTDATA("Monto",Analisis2!$S$4)</f>
        <v>1404391.4499999995</v>
      </c>
    </row>
  </sheetData>
  <mergeCells count="4">
    <mergeCell ref="A5:A16"/>
    <mergeCell ref="A17:A28"/>
    <mergeCell ref="A29:A40"/>
    <mergeCell ref="A46:A5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EE51-2534-44B6-8565-3DB305D1FE6F}">
  <sheetPr>
    <tabColor rgb="FF92D050"/>
  </sheetPr>
  <dimension ref="A1:Q25"/>
  <sheetViews>
    <sheetView showGridLines="0" showRowColHeaders="0" tabSelected="1" zoomScaleNormal="100" workbookViewId="0">
      <selection activeCell="R7" sqref="R7"/>
    </sheetView>
  </sheetViews>
  <sheetFormatPr baseColWidth="10" defaultColWidth="11.44140625" defaultRowHeight="14.4" x14ac:dyDescent="0.3"/>
  <cols>
    <col min="1" max="1" width="2.6640625" customWidth="1"/>
    <col min="2" max="12" width="11.6640625" customWidth="1"/>
    <col min="13" max="13" width="2.6640625" customWidth="1"/>
    <col min="17" max="17" width="2.6640625" style="9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8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8"/>
    </row>
    <row r="3" spans="1:1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8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8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8"/>
    </row>
    <row r="6" spans="1:1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8"/>
    </row>
    <row r="7" spans="1:1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8"/>
    </row>
    <row r="8" spans="1:1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8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8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A3291B-B3D8-42C4-86A4-4449F5CC1E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Anual</vt:lpstr>
      <vt:lpstr>Analisis2</vt:lpstr>
      <vt:lpstr>Info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Jesús Ángel Muñoz Cuacua</dc:creator>
  <cp:keywords/>
  <dc:description/>
  <cp:lastModifiedBy>Jesús Ángel Muñoz Cuacua</cp:lastModifiedBy>
  <cp:revision/>
  <dcterms:created xsi:type="dcterms:W3CDTF">2026-03-19T14:27:30Z</dcterms:created>
  <dcterms:modified xsi:type="dcterms:W3CDTF">2026-06-17T22:10:21Z</dcterms:modified>
  <cp:category/>
  <cp:contentStatus/>
</cp:coreProperties>
</file>